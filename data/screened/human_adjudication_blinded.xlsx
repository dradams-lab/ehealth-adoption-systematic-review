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judication" sheetId="1" state="visible" r:id="rId1"/>
    <sheet xmlns:r="http://schemas.openxmlformats.org/officeDocument/2006/relationships" name="Guide" sheetId="2" state="visible" r:id="rId2"/>
  </sheets>
  <definedNames>
    <definedName name="_xlnm._FilterDatabase" localSheetId="0" hidden="1">'Adjudication'!$A$1:$M$127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color rgb="000563C1"/>
      <sz val="10"/>
      <u val="single"/>
    </font>
    <font>
      <name val="Arial"/>
      <b val="1"/>
      <sz val="13"/>
    </font>
    <font>
      <name val="Arial"/>
      <b val="1"/>
      <sz val="10"/>
    </font>
  </fonts>
  <fills count="4">
    <fill>
      <patternFill/>
    </fill>
    <fill>
      <patternFill patternType="gray125"/>
    </fill>
    <fill>
      <patternFill patternType="solid">
        <fgColor rgb="001F3864"/>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2968/jowc.2015.24.Sup5.S1" TargetMode="External" Id="rId1"/><Relationship Type="http://schemas.openxmlformats.org/officeDocument/2006/relationships/hyperlink" Target="https://doi.org/10.1186/s12885-024-12910-6" TargetMode="External" Id="rId2"/><Relationship Type="http://schemas.openxmlformats.org/officeDocument/2006/relationships/hyperlink" Target="https://doi.org/10.1177/2327857917061028" TargetMode="External" Id="rId3"/><Relationship Type="http://schemas.openxmlformats.org/officeDocument/2006/relationships/hyperlink" Target="https://doi.org/10.1001/jamapediatrics.2022.0500" TargetMode="External" Id="rId4"/><Relationship Type="http://schemas.openxmlformats.org/officeDocument/2006/relationships/hyperlink" Target="https://doi.org/10.4212/cjhp.3798" TargetMode="External" Id="rId5"/><Relationship Type="http://schemas.openxmlformats.org/officeDocument/2006/relationships/hyperlink" Target="https://doi.org/10.1177/09514848211001696" TargetMode="External" Id="rId6"/><Relationship Type="http://schemas.openxmlformats.org/officeDocument/2006/relationships/hyperlink" Target="https://doi.org/10.2196/jmir.8769" TargetMode="External" Id="rId7"/><Relationship Type="http://schemas.openxmlformats.org/officeDocument/2006/relationships/hyperlink" Target="https://doi.org/10.1055/s-0039-1678551" TargetMode="External" Id="rId8"/><Relationship Type="http://schemas.openxmlformats.org/officeDocument/2006/relationships/hyperlink" Target="https://doi.org/10.1007/s10488-015-0676-3" TargetMode="External" Id="rId9"/><Relationship Type="http://schemas.openxmlformats.org/officeDocument/2006/relationships/hyperlink" Target="https://doi.org/10.1542/peds.2016-2653" TargetMode="External" Id="rId10"/><Relationship Type="http://schemas.openxmlformats.org/officeDocument/2006/relationships/hyperlink" Target="https://doi.org/10.1055/a-2187-3243" TargetMode="External" Id="rId11"/><Relationship Type="http://schemas.openxmlformats.org/officeDocument/2006/relationships/hyperlink" Target="https://doi.org/10.1177/1460458219882265" TargetMode="External" Id="rId12"/><Relationship Type="http://schemas.openxmlformats.org/officeDocument/2006/relationships/hyperlink" Target="https://doi.org/10.1097/ADM.0000000000001102" TargetMode="External" Id="rId13"/><Relationship Type="http://schemas.openxmlformats.org/officeDocument/2006/relationships/hyperlink" Target="https://doi.org/10.3233/SHTI260408" TargetMode="External" Id="rId14"/><Relationship Type="http://schemas.openxmlformats.org/officeDocument/2006/relationships/hyperlink" Target="https://doi.org/10.1093/jamiaopen/ooae048" TargetMode="External" Id="rId15"/><Relationship Type="http://schemas.openxmlformats.org/officeDocument/2006/relationships/hyperlink" Target="https://doi.org/10.1071/AH24344" TargetMode="External" Id="rId16"/><Relationship Type="http://schemas.openxmlformats.org/officeDocument/2006/relationships/hyperlink" Target="https://doi.org/10.1213/ANE.0000000000004806" TargetMode="External" Id="rId17"/><Relationship Type="http://schemas.openxmlformats.org/officeDocument/2006/relationships/hyperlink" Target="https://doi.org/10.1038/s41436-020-01057-x" TargetMode="External" Id="rId18"/><Relationship Type="http://schemas.openxmlformats.org/officeDocument/2006/relationships/hyperlink" Target="https://doi.org/10.1017/ash.2025.10272" TargetMode="External" Id="rId19"/><Relationship Type="http://schemas.openxmlformats.org/officeDocument/2006/relationships/hyperlink" Target="https://doi.org/10.3389/fdgth.2025.1676631" TargetMode="External" Id="rId20"/><Relationship Type="http://schemas.openxmlformats.org/officeDocument/2006/relationships/hyperlink" Target="https://doi.org/10.2196/32220" TargetMode="External" Id="rId21"/><Relationship Type="http://schemas.openxmlformats.org/officeDocument/2006/relationships/hyperlink" Target="https://doi.org/10.1371/journal.pdig.0000954" TargetMode="External" Id="rId22"/><Relationship Type="http://schemas.openxmlformats.org/officeDocument/2006/relationships/hyperlink" Target="https://doi.org/10.1097/CIN.0000000000000336" TargetMode="External" Id="rId23"/><Relationship Type="http://schemas.openxmlformats.org/officeDocument/2006/relationships/hyperlink" Target="https://doi.org/10.1186/s12913-024-11807-1" TargetMode="External" Id="rId24"/><Relationship Type="http://schemas.openxmlformats.org/officeDocument/2006/relationships/hyperlink" Target="https://doi.org/10.1186/s43058-023-00412-8" TargetMode="External" Id="rId25"/><Relationship Type="http://schemas.openxmlformats.org/officeDocument/2006/relationships/hyperlink" Target="https://doi.org/10.1177/00469580261433432" TargetMode="External" Id="rId26"/><Relationship Type="http://schemas.openxmlformats.org/officeDocument/2006/relationships/hyperlink" Target="https://doi.org/10.7326/L15-5060" TargetMode="External" Id="rId27"/><Relationship Type="http://schemas.openxmlformats.org/officeDocument/2006/relationships/hyperlink" Target="https://doi.org/10.2196/29837" TargetMode="External" Id="rId28"/><Relationship Type="http://schemas.openxmlformats.org/officeDocument/2006/relationships/hyperlink" Target="https://doi.org/10.1186/s12913-020-05317-z" TargetMode="External" Id="rId29"/><Relationship Type="http://schemas.openxmlformats.org/officeDocument/2006/relationships/hyperlink" Target="https://doi.org/10.1093/jamia/ocaa129" TargetMode="External" Id="rId30"/><Relationship Type="http://schemas.openxmlformats.org/officeDocument/2006/relationships/hyperlink" Target="https://doi.org/10.2196/15630" TargetMode="External" Id="rId31"/><Relationship Type="http://schemas.openxmlformats.org/officeDocument/2006/relationships/hyperlink" Target="https://doi.org/10.1186/s12911-024-02667-0" TargetMode="External" Id="rId32"/><Relationship Type="http://schemas.openxmlformats.org/officeDocument/2006/relationships/hyperlink" Target="https://doi.org/10.2196/48671" TargetMode="External" Id="rId33"/><Relationship Type="http://schemas.openxmlformats.org/officeDocument/2006/relationships/hyperlink" Target="https://doi.org/10.2196/22866" TargetMode="External" Id="rId34"/><Relationship Type="http://schemas.openxmlformats.org/officeDocument/2006/relationships/hyperlink" Target="https://doi.org/10.1186/s12913-022-08020-3" TargetMode="External" Id="rId35"/><Relationship Type="http://schemas.openxmlformats.org/officeDocument/2006/relationships/hyperlink" Target="https://doi.org/10.3389/fpubh.2021.669727" TargetMode="External" Id="rId36"/><Relationship Type="http://schemas.openxmlformats.org/officeDocument/2006/relationships/hyperlink" Target="https://doi.org/10.1136/bmjhci-2022-100704" TargetMode="External" Id="rId37"/><Relationship Type="http://schemas.openxmlformats.org/officeDocument/2006/relationships/hyperlink" Target="https://doi.org/10.1016/j.amepre.2014.07.009" TargetMode="External" Id="rId38"/><Relationship Type="http://schemas.openxmlformats.org/officeDocument/2006/relationships/hyperlink" Target="https://doi.org/10.1097/PHH.0000000000000465" TargetMode="External" Id="rId39"/><Relationship Type="http://schemas.openxmlformats.org/officeDocument/2006/relationships/hyperlink" Target="https://doi.org/10.1186/s12913-023-10439-1" TargetMode="External" Id="rId40"/><Relationship Type="http://schemas.openxmlformats.org/officeDocument/2006/relationships/hyperlink" Target="https://doi.org/10.2196/79999" TargetMode="External" Id="rId41"/><Relationship Type="http://schemas.openxmlformats.org/officeDocument/2006/relationships/hyperlink" Target="https://doi.org/10.2196/40959" TargetMode="External" Id="rId42"/><Relationship Type="http://schemas.openxmlformats.org/officeDocument/2006/relationships/hyperlink" Target="https://doi.org/10.1016/j.ijmedinf.2025.106221" TargetMode="External" Id="rId43"/><Relationship Type="http://schemas.openxmlformats.org/officeDocument/2006/relationships/hyperlink" Target="https://doi.org/10.2196/77840" TargetMode="External" Id="rId44"/><Relationship Type="http://schemas.openxmlformats.org/officeDocument/2006/relationships/hyperlink" Target="https://doi.org/10.1093/inthealth/ihaa091" TargetMode="External" Id="rId45"/><Relationship Type="http://schemas.openxmlformats.org/officeDocument/2006/relationships/hyperlink" Target="https://doi.org/10.2196/20579" TargetMode="External" Id="rId46"/><Relationship Type="http://schemas.openxmlformats.org/officeDocument/2006/relationships/hyperlink" Target="https://doi.org/10.3233/SHTI251118" TargetMode="External" Id="rId47"/><Relationship Type="http://schemas.openxmlformats.org/officeDocument/2006/relationships/hyperlink" Target="https://doi.org/10.1037/ser0000937" TargetMode="External" Id="rId48"/><Relationship Type="http://schemas.openxmlformats.org/officeDocument/2006/relationships/hyperlink" Target="https://doi.org/10.1109/ICIMTech67074.2025.11264924" TargetMode="External" Id="rId49"/><Relationship Type="http://schemas.openxmlformats.org/officeDocument/2006/relationships/hyperlink" Target="https://doi.org/10.2196/15040" TargetMode="External" Id="rId50"/><Relationship Type="http://schemas.openxmlformats.org/officeDocument/2006/relationships/hyperlink" Target="https://doi.org/10.1017/ash.2025.10283" TargetMode="External" Id="rId51"/><Relationship Type="http://schemas.openxmlformats.org/officeDocument/2006/relationships/hyperlink" Target="https://doi.org/10.1111/1475-6773.12648" TargetMode="External" Id="rId52"/><Relationship Type="http://schemas.openxmlformats.org/officeDocument/2006/relationships/hyperlink" Target="https://doi.org/10.3310/GJHG0331" TargetMode="External" Id="rId53"/><Relationship Type="http://schemas.openxmlformats.org/officeDocument/2006/relationships/hyperlink" Target="https://doi.org/10.1186/s12913-022-08724-6" TargetMode="External" Id="rId54"/><Relationship Type="http://schemas.openxmlformats.org/officeDocument/2006/relationships/hyperlink" Target="https://doi.org/10.2147/JMDH.S284973" TargetMode="External" Id="rId55"/><Relationship Type="http://schemas.openxmlformats.org/officeDocument/2006/relationships/hyperlink" Target="https://doi.org/10.4102/phcfm.v9i1.1277" TargetMode="External" Id="rId56"/><Relationship Type="http://schemas.openxmlformats.org/officeDocument/2006/relationships/hyperlink" Target="https://doi.org/10.3233/SHTI220497" TargetMode="External" Id="rId57"/><Relationship Type="http://schemas.openxmlformats.org/officeDocument/2006/relationships/hyperlink" Target="https://doi.org/10.1186/s12911-017-0474-9" TargetMode="External" Id="rId58"/><Relationship Type="http://schemas.openxmlformats.org/officeDocument/2006/relationships/hyperlink" Target="https://doi.org/10.1016/j.ijmedinf.2017.09.001" TargetMode="External" Id="rId59"/><Relationship Type="http://schemas.openxmlformats.org/officeDocument/2006/relationships/hyperlink" Target="https://doi.org/10.1016/j.ijmedinf.2018.05.002" TargetMode="External" Id="rId60"/><Relationship Type="http://schemas.openxmlformats.org/officeDocument/2006/relationships/hyperlink" Target="https://doi.org/10.12968/jowc.2015.24.Sup5.S25" TargetMode="External" Id="rId61"/><Relationship Type="http://schemas.openxmlformats.org/officeDocument/2006/relationships/hyperlink" Target="https://doi.org/10.1016/j.socscimed.2019.112387" TargetMode="External" Id="rId62"/><Relationship Type="http://schemas.openxmlformats.org/officeDocument/2006/relationships/hyperlink" Target="https://doi.org/10.2196/54365" TargetMode="External" Id="rId63"/><Relationship Type="http://schemas.openxmlformats.org/officeDocument/2006/relationships/hyperlink" Target="https://doi.org/10.1097/01.NCN.0000585332.14479.9e" TargetMode="External" Id="rId64"/><Relationship Type="http://schemas.openxmlformats.org/officeDocument/2006/relationships/hyperlink" Target="https://doi.org/10.1093/jamiaopen/ooaa069" TargetMode="External" Id="rId65"/><Relationship Type="http://schemas.openxmlformats.org/officeDocument/2006/relationships/hyperlink" Target="https://doi.org/10.1109/ICT49546.2020.9239534" TargetMode="External" Id="rId66"/><Relationship Type="http://schemas.openxmlformats.org/officeDocument/2006/relationships/hyperlink" Target="https://doi.org/10.1038/s41746-024-01049-0" TargetMode="External" Id="rId67"/><Relationship Type="http://schemas.openxmlformats.org/officeDocument/2006/relationships/hyperlink" Target="https://doi.org/10.3233/SHTI190534" TargetMode="External" Id="rId68"/><Relationship Type="http://schemas.openxmlformats.org/officeDocument/2006/relationships/hyperlink" Target="https://doi.org/10.1186/s41077-025-00349-z" TargetMode="External" Id="rId69"/><Relationship Type="http://schemas.openxmlformats.org/officeDocument/2006/relationships/hyperlink" Target="https://doi.org/10.1155/jonm/7612011" TargetMode="External" Id="rId70"/><Relationship Type="http://schemas.openxmlformats.org/officeDocument/2006/relationships/hyperlink" Target="https://doi.org/10.1016/j.amjcard.2018.07.017" TargetMode="External" Id="rId71"/><Relationship Type="http://schemas.openxmlformats.org/officeDocument/2006/relationships/hyperlink" Target="https://doi.org/10.1016/j.ijmedinf.2021.104394" TargetMode="External" Id="rId72"/><Relationship Type="http://schemas.openxmlformats.org/officeDocument/2006/relationships/hyperlink" Target="https://doi.org/10.25259/ijmr_664_23" TargetMode="External" Id="rId73"/><Relationship Type="http://schemas.openxmlformats.org/officeDocument/2006/relationships/hyperlink" Target="https://doi.org/10.1093/jamiaopen/ooy046" TargetMode="External" Id="rId74"/><Relationship Type="http://schemas.openxmlformats.org/officeDocument/2006/relationships/hyperlink" Target="https://doi.org/10.1016/j.hjdsi.2022.100654" TargetMode="External" Id="rId75"/><Relationship Type="http://schemas.openxmlformats.org/officeDocument/2006/relationships/hyperlink" Target="https://doi.org/10.1093/jamia/ocy024" TargetMode="External" Id="rId76"/><Relationship Type="http://schemas.openxmlformats.org/officeDocument/2006/relationships/hyperlink" Target="https://doi.org/10.1089/omi.2019.0070" TargetMode="External" Id="rId77"/><Relationship Type="http://schemas.openxmlformats.org/officeDocument/2006/relationships/hyperlink" Target="https://doi.org/10.1093/ageing/afad223" TargetMode="External" Id="rId78"/><Relationship Type="http://schemas.openxmlformats.org/officeDocument/2006/relationships/hyperlink" Target="https://doi.org/10.1186/s12939-022-01640-5" TargetMode="External" Id="rId79"/><Relationship Type="http://schemas.openxmlformats.org/officeDocument/2006/relationships/hyperlink" Target="https://doi.org/10.1109/ICHI61247.2024.00118" TargetMode="External" Id="rId80"/><Relationship Type="http://schemas.openxmlformats.org/officeDocument/2006/relationships/hyperlink" Target="https://doi.org/10.2196/10996" TargetMode="External" Id="rId81"/><Relationship Type="http://schemas.openxmlformats.org/officeDocument/2006/relationships/hyperlink" Target="https://doi.org/10.1177/11795972241293514" TargetMode="External" Id="rId82"/><Relationship Type="http://schemas.openxmlformats.org/officeDocument/2006/relationships/hyperlink" Target="https://doi.org/10.1097/NNA.0000000000000810" TargetMode="External" Id="rId83"/><Relationship Type="http://schemas.openxmlformats.org/officeDocument/2006/relationships/hyperlink" Target="https://doi.org/10.1097/CIN.0000000000000729" TargetMode="External" Id="rId84"/><Relationship Type="http://schemas.openxmlformats.org/officeDocument/2006/relationships/hyperlink" Target="https://doi.org/10.2196/medinform.6512" TargetMode="External" Id="rId85"/><Relationship Type="http://schemas.openxmlformats.org/officeDocument/2006/relationships/hyperlink" Target="https://doi.org/10.2147/JMDH.S487196" TargetMode="External" Id="rId86"/><Relationship Type="http://schemas.openxmlformats.org/officeDocument/2006/relationships/hyperlink" Target="https://doi.org/10.3389/fragi.2024.1349520" TargetMode="External" Id="rId87"/><Relationship Type="http://schemas.openxmlformats.org/officeDocument/2006/relationships/hyperlink" Target="https://doi.org/10.1111/ajad.12667" TargetMode="External" Id="rId88"/><Relationship Type="http://schemas.openxmlformats.org/officeDocument/2006/relationships/hyperlink" Target="https://doi.org/10.1136/ijgc-2021-003274" TargetMode="External" Id="rId89"/><Relationship Type="http://schemas.openxmlformats.org/officeDocument/2006/relationships/hyperlink" Target="https://doi.org/10.1093/oodh/oqae005" TargetMode="External" Id="rId90"/><Relationship Type="http://schemas.openxmlformats.org/officeDocument/2006/relationships/hyperlink" Target="https://doi.org/10.1080/13814788.2020.1826431" TargetMode="External" Id="rId91"/><Relationship Type="http://schemas.openxmlformats.org/officeDocument/2006/relationships/hyperlink" Target="https://doi.org/10.1177/08404704231224070" TargetMode="External" Id="rId92"/><Relationship Type="http://schemas.openxmlformats.org/officeDocument/2006/relationships/hyperlink" Target="https://doi.org/10.2147/JMDH.S457420" TargetMode="External" Id="rId93"/><Relationship Type="http://schemas.openxmlformats.org/officeDocument/2006/relationships/hyperlink" Target="https://doi.org/10.1111/1475-6773.12307" TargetMode="External" Id="rId94"/><Relationship Type="http://schemas.openxmlformats.org/officeDocument/2006/relationships/hyperlink" Target="https://doi.org/10.2196/63896" TargetMode="External" Id="rId95"/><Relationship Type="http://schemas.openxmlformats.org/officeDocument/2006/relationships/hyperlink" Target="https://doi.org/10.1177/18333583241274010" TargetMode="External" Id="rId96"/><Relationship Type="http://schemas.openxmlformats.org/officeDocument/2006/relationships/hyperlink" Target="https://doi.org/10.1016/S0140-6736(21)01503-8" TargetMode="External" Id="rId97"/><Relationship Type="http://schemas.openxmlformats.org/officeDocument/2006/relationships/hyperlink" Target="https://doi.org/10.1038/s41746-018-0059-8" TargetMode="External" Id="rId98"/><Relationship Type="http://schemas.openxmlformats.org/officeDocument/2006/relationships/hyperlink" Target="https://doi.org/10.1002/phar.1786" TargetMode="External" Id="rId99"/><Relationship Type="http://schemas.openxmlformats.org/officeDocument/2006/relationships/hyperlink" Target="https://doi.org/10.1002/epi4.12480" TargetMode="External" Id="rId100"/><Relationship Type="http://schemas.openxmlformats.org/officeDocument/2006/relationships/hyperlink" Target="https://doi.org/10.1177/20552076261419237" TargetMode="External" Id="rId101"/><Relationship Type="http://schemas.openxmlformats.org/officeDocument/2006/relationships/hyperlink" Target="https://doi.org/10.1055/a-2562-1161" TargetMode="External" Id="rId102"/><Relationship Type="http://schemas.openxmlformats.org/officeDocument/2006/relationships/hyperlink" Target="https://doi.org/10.1371/journal.pone.0287991" TargetMode="External" Id="rId103"/><Relationship Type="http://schemas.openxmlformats.org/officeDocument/2006/relationships/hyperlink" Target="https://doi.org/10.1186/s13012-020-01053-4" TargetMode="External" Id="rId104"/><Relationship Type="http://schemas.openxmlformats.org/officeDocument/2006/relationships/hyperlink" Target="https://doi.org/10.1093/jamia/ocu015" TargetMode="External" Id="rId105"/><Relationship Type="http://schemas.openxmlformats.org/officeDocument/2006/relationships/hyperlink" Target="https://doi.org/10.1097/HMR.0000000000000217" TargetMode="External" Id="rId106"/><Relationship Type="http://schemas.openxmlformats.org/officeDocument/2006/relationships/hyperlink" Target="https://doi.org/10.1186/s12885-020-6611-3" TargetMode="External" Id="rId107"/><Relationship Type="http://schemas.openxmlformats.org/officeDocument/2006/relationships/hyperlink" Target="https://doi.org/10.2196/73615" TargetMode="External" Id="rId108"/><Relationship Type="http://schemas.openxmlformats.org/officeDocument/2006/relationships/hyperlink" Target="https://doi.org/10.3233/SHTI220103" TargetMode="External" Id="rId109"/><Relationship Type="http://schemas.openxmlformats.org/officeDocument/2006/relationships/hyperlink" Target="https://doi.org/10.2196/17568" TargetMode="External" Id="rId110"/><Relationship Type="http://schemas.openxmlformats.org/officeDocument/2006/relationships/hyperlink" Target="https://doi.org/10.3389/fpubh.2024.1337138" TargetMode="External" Id="rId111"/><Relationship Type="http://schemas.openxmlformats.org/officeDocument/2006/relationships/hyperlink" Target="https://doi.org/10.1109/ICIMTech67074.2025.11265535" TargetMode="External" Id="rId112"/><Relationship Type="http://schemas.openxmlformats.org/officeDocument/2006/relationships/hyperlink" Target="https://doi.org/10.1108/IJHCQA-09-2015-0115" TargetMode="External" Id="rId113"/><Relationship Type="http://schemas.openxmlformats.org/officeDocument/2006/relationships/hyperlink" Target="https://doi.org/10.1097/JMQ.0000000000000036" TargetMode="External" Id="rId114"/><Relationship Type="http://schemas.openxmlformats.org/officeDocument/2006/relationships/hyperlink" Target="https://doi.org/10.1016/j.annemergmed.2023.07.002" TargetMode="External" Id="rId115"/></Relationships>
</file>

<file path=xl/worksheets/sheet1.xml><?xml version="1.0" encoding="utf-8"?>
<worksheet xmlns="http://schemas.openxmlformats.org/spreadsheetml/2006/main">
  <sheetPr>
    <outlinePr summaryBelow="1" summaryRight="1"/>
    <pageSetUpPr/>
  </sheetPr>
  <dimension ref="A1:M12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15" customWidth="1" min="3" max="3"/>
    <col width="19" customWidth="1" min="4" max="4"/>
    <col width="22" customWidth="1" min="5" max="5"/>
    <col width="6" customWidth="1" min="6" max="6"/>
    <col width="14" customWidth="1" min="7" max="7"/>
    <col width="16" customWidth="1" min="8" max="8"/>
    <col width="28" customWidth="1" min="9" max="9"/>
    <col width="100" customWidth="1" min="10" max="10"/>
    <col width="100" customWidth="1" min="11" max="11"/>
    <col width="100" customWidth="1" min="12" max="12"/>
    <col width="30" customWidth="1" min="13" max="13"/>
  </cols>
  <sheetData>
    <row r="1" ht="30" customHeight="1">
      <c r="A1" s="1" t="inlineStr">
        <is>
          <t>order</t>
        </is>
      </c>
      <c r="B1" s="1" t="inlineStr">
        <is>
          <t>rec_id</t>
        </is>
      </c>
      <c r="C1" s="1" t="inlineStr">
        <is>
          <t>your_decision</t>
        </is>
      </c>
      <c r="D1" s="1" t="inlineStr">
        <is>
          <t>your_reason_code</t>
        </is>
      </c>
      <c r="E1" s="1" t="inlineStr">
        <is>
          <t>your_notes</t>
        </is>
      </c>
      <c r="F1" s="1" t="inlineStr">
        <is>
          <t>year</t>
        </is>
      </c>
      <c r="G1" s="1" t="inlineStr">
        <is>
          <t>doctype</t>
        </is>
      </c>
      <c r="H1" s="1" t="inlineStr">
        <is>
          <t>venue</t>
        </is>
      </c>
      <c r="I1" s="1" t="inlineStr">
        <is>
          <t>title</t>
        </is>
      </c>
      <c r="J1" s="1" t="inlineStr">
        <is>
          <t>abstract</t>
        </is>
      </c>
      <c r="K1" s="1" t="inlineStr">
        <is>
          <t>abstract_continued</t>
        </is>
      </c>
      <c r="L1" s="1" t="inlineStr">
        <is>
          <t>abstract_continued_2</t>
        </is>
      </c>
      <c r="M1" s="1" t="inlineStr">
        <is>
          <t>doi_link</t>
        </is>
      </c>
    </row>
    <row r="2" ht="357" customHeight="1">
      <c r="A2" s="2" t="n">
        <v>1</v>
      </c>
      <c r="B2" s="2" t="inlineStr">
        <is>
          <t>R0425</t>
        </is>
      </c>
      <c r="C2" s="3" t="n"/>
      <c r="D2" s="3" t="n"/>
      <c r="E2" s="3" t="n"/>
      <c r="F2" s="2" t="n">
        <v>2015</v>
      </c>
      <c r="G2" s="2" t="inlineStr">
        <is>
          <t>Journal Article</t>
        </is>
      </c>
      <c r="H2" s="2" t="inlineStr">
        <is>
          <t>Journal of wound care</t>
        </is>
      </c>
      <c r="I2" s="2" t="inlineStr">
        <is>
          <t>eHealth in Wound Care: from conception to implementation.</t>
        </is>
      </c>
      <c r="J2" s="2" t="inlineStr">
        <is>
          <t>Executive summary Purpose This document aims to provide wound care clinicians with a rapid and structured overview of the key issues related to use of eHealth applications (telemedicine and telehealth) within wound care. This includes: An overview of terminology and available literature Guidance on the methodology for evaluation of eHealth solutions An introduction to and discussion of the potential benefits of eHealth technologies in wound care, and the possible barriers to their implementation Recommendations for ensuring a good implementation process and supporting involvement of wound care professionals in safeguarding that eHealth solutions meet the needs of the patients. Methodology The document sections lean on the structure and focus areas of the Model for ASsessment of Telemedicine (MAST) which defines crucial items to evaluate an eHealth application. The content of the document is developed on the basis of a literature review, identifying available documentation for use of eHealth solutions in wound care. Furthermore, it draws on various key documents recently published on the general development, evaluation and implementation of eHealth solutions. These include valuable up-to-date information relevant for any group of clinicians wishing to follow and influence the way eHealth solutions are integrated into clinical practice. Findings and conclusions The literature review revealed that the amount and level of evidence for use of eHealth applications in wound care is still limited. Some MAST domains are not examined in any of the available studies. Thus, more research is required to identify the potential benefits and harms to patients, and the possible challenges related to implementation of eHealth solutions in wound care. Potential barriers and facilitators for the implementation of eHealth applications into wound care practice are identified in the document, and these may all either enhance or impede the process. However, the available research does demonstrate patient satisfaction, improved access to health services for all client cohorts, and increased job satisfaction for clinicians. The document recommends that wound management clinicians, considering the use of eHealth applications in their clinical practice, consult widely and conduct regular evaluation of the outcomes to ensure efficient implementation of these services. To support this approach, steps to ensure a good implementation process within a given organisation have been proposed. These are synthesised into a three circle model.</t>
        </is>
      </c>
      <c r="K2" s="2" t="n"/>
      <c r="L2" s="2" t="n"/>
      <c r="M2" s="4" t="inlineStr">
        <is>
          <t>https://doi.org/10.12968/jowc.2015.24.Sup5.S1</t>
        </is>
      </c>
    </row>
    <row r="3" ht="292" customHeight="1">
      <c r="A3" s="2" t="n">
        <v>2</v>
      </c>
      <c r="B3" s="2" t="inlineStr">
        <is>
          <t>R0914</t>
        </is>
      </c>
      <c r="C3" s="3" t="n"/>
      <c r="D3" s="3" t="n"/>
      <c r="E3" s="3" t="n"/>
      <c r="F3" s="2" t="n">
        <v>2024</v>
      </c>
      <c r="G3" s="2" t="inlineStr">
        <is>
          <t>Journal Article</t>
        </is>
      </c>
      <c r="H3" s="2" t="inlineStr">
        <is>
          <t>BMC cancer</t>
        </is>
      </c>
      <c r="I3" s="2" t="inlineStr">
        <is>
          <t>Determinants of the implementation of eHealth-based long-term follow-up care for young cancer survivors: a qualitative study.</t>
        </is>
      </c>
      <c r="J3" s="2" t="inlineStr">
        <is>
          <t>BACKGROUND: eHealth may help closing gaps in the long-term follow-up care of former young age cancer patients. While its introduction to medical aftercare appears promising, it also faces obstacles in the course of its implementation. This study explored what prospective eHealth applications have to achieve and what facilitating and hindering factors are associated with the implementation of them. METHODS: A qualitative, explorative-descriptive design involving semi-structured interviews was used in this study. General practitioners (GPs) from urban and rural areas as well as former cancer patients were recruited and interviewed. The interview guide focused on expectations of telemedical care services for the patient group of children and adolescents as well as potential facilitating and hindering factors of the implementation of telemedical care services for former cancer patients. Interviews were recorded, transcribed and analyzed on the basis of qualitative content analysis as described by Kuckartz. RESULTS: Empiric saturation was reached after 25 interviews, respectively. The age of the physicians surveyed at the time of the interviews ranged from 27 to 71 years, with an average of 42 years. The former patients ranged in age from 21 to 43 at the time of participation, with an average age of 34. The age at diagnosis ranged from 3 to 31 years. eHealth services were considered an effective way to maintain continuity of care and improve the health literacy of cancer survivors. Cooperation with health insurance companies and gamification-elements were regarded as beneficial for the introduction of eHealth structures. Poor interface compatibility, insufficient network coverage and lack of digital literacy were valued as potential barriers. CONCLUSIONS: If properly introduced, eHealth shows the potential to provide stakeholders with tools that increase their self-efficacy and ability to act. As the technology continues to advance, our data provides application-oriented factors for tailored implementation strategies to bring eHealth into the field.</t>
        </is>
      </c>
      <c r="K3" s="2" t="n"/>
      <c r="L3" s="2" t="n"/>
      <c r="M3" s="4" t="inlineStr">
        <is>
          <t>https://doi.org/10.1186/s12885-024-12910-6</t>
        </is>
      </c>
    </row>
    <row r="4" ht="240" customHeight="1">
      <c r="A4" s="2" t="n">
        <v>3</v>
      </c>
      <c r="B4" s="2" t="inlineStr">
        <is>
          <t>R0367</t>
        </is>
      </c>
      <c r="C4" s="3" t="n"/>
      <c r="D4" s="3" t="n"/>
      <c r="E4" s="3" t="n"/>
      <c r="F4" s="2" t="n">
        <v>2017</v>
      </c>
      <c r="G4" s="2" t="inlineStr">
        <is>
          <t>Journal Article</t>
        </is>
      </c>
      <c r="H4" s="2" t="inlineStr">
        <is>
          <t>Proceedings of the International Symposium of Human Factors and Ergonomics in Healthcare. International Symposium of Human Factors and Ergonomics in Healthcare</t>
        </is>
      </c>
      <c r="I4" s="2" t="inlineStr">
        <is>
          <t>CLUSTERING AND PRIORITIZING PATIENT SAFETY ISSUES DURING EHR IMPLEMENTATION AND UPGRADES IN HOSPITAL SETTINGS.</t>
        </is>
      </c>
      <c r="J4" s="2" t="inlineStr">
        <is>
          <t>Our aim was to elicit, label, and prioritize clusters of de-identified patient safety issues experienced during the implementation and upgrade installations of Electronic Health Records (EHRs) in hospitals. Conference participants included clinical personnel (physicians, nurses, pharmacists), human factors experts, patient safety experts, information technology experts from vendors and hospitals, academic experts, graduate students, and other attendees. De-identified reports of patient safety issues were shared via share4safety@gmail.com by conference and non-conference attendees before and during a 90-minute session featured at the Human Factors in Healthcare International Symposium on March 8, 2017. One submitted example of a reported patient safety issue was provided to the group. During the session, each attendee shared with a partner five concerns and identified their top concern. Subsequently, each two-person group shared with the larger group these issues, which were written by a facilitator onto sticky paper and placed on the walls. The issues were grouped using pre-defined categories and new categories were identified. Next, each participant voted for the highest priority cluster and/or individual patient safety issue using stickers. This paper reports the results of the interactive session, including the labeled and prioritized clusters and illustrative examples for each cluster. These clusters may inform reporting systems and quality improvement initiatives with health information technology where choices made during implementation and upgrades as well as design flaws with EHR technology both contribute and interact to produce potential patient safety issues.</t>
        </is>
      </c>
      <c r="K4" s="2" t="n"/>
      <c r="L4" s="2" t="n"/>
      <c r="M4" s="4" t="inlineStr">
        <is>
          <t>https://doi.org/10.1177/2327857917061028</t>
        </is>
      </c>
    </row>
    <row r="5" ht="58" customHeight="1">
      <c r="A5" s="2" t="n">
        <v>4</v>
      </c>
      <c r="B5" s="2" t="inlineStr">
        <is>
          <t>R0495</t>
        </is>
      </c>
      <c r="C5" s="3" t="n"/>
      <c r="D5" s="3" t="n"/>
      <c r="E5" s="3" t="n"/>
      <c r="F5" s="2" t="n">
        <v>2015</v>
      </c>
      <c r="G5" s="2" t="inlineStr">
        <is>
          <t>Journal Article</t>
        </is>
      </c>
      <c r="H5" s="2" t="inlineStr">
        <is>
          <t>AMIA ... Annual Symposium proceedings. AMIA Symposium</t>
        </is>
      </c>
      <c r="I5" s="2" t="inlineStr">
        <is>
          <t>Effects of HIE/HIT Implementation and Coordination of Care on Health Outcomes and Quality.</t>
        </is>
      </c>
      <c r="J5" s="2" t="inlineStr">
        <is>
          <t>[no abstract - screen on title, venue, and document type]</t>
        </is>
      </c>
      <c r="K5" s="2" t="n"/>
      <c r="L5" s="2" t="n"/>
      <c r="M5" s="2" t="n"/>
    </row>
    <row r="6" ht="84" customHeight="1">
      <c r="A6" s="2" t="n">
        <v>5</v>
      </c>
      <c r="B6" s="2" t="inlineStr">
        <is>
          <t>R0635</t>
        </is>
      </c>
      <c r="C6" s="3" t="n"/>
      <c r="D6" s="3" t="n"/>
      <c r="E6" s="3" t="n"/>
      <c r="F6" s="2" t="n">
        <v>2022</v>
      </c>
      <c r="G6" s="2" t="inlineStr">
        <is>
          <t>Journal Article</t>
        </is>
      </c>
      <c r="H6" s="2" t="inlineStr">
        <is>
          <t>JAMA pediatrics</t>
        </is>
      </c>
      <c r="I6" s="2" t="inlineStr">
        <is>
          <t>Adolescents Are Still Waiting on a Digital Health Revolution: Accelerating Research-to-Practice Translation Through Design for Implementation.</t>
        </is>
      </c>
      <c r="J6" s="2" t="inlineStr">
        <is>
          <t>[no abstract - screen on title, venue, and document type]</t>
        </is>
      </c>
      <c r="K6" s="2" t="n"/>
      <c r="L6" s="2" t="n"/>
      <c r="M6" s="4" t="inlineStr">
        <is>
          <t>https://doi.org/10.1001/jamapediatrics.2022.0500</t>
        </is>
      </c>
    </row>
    <row r="7" ht="292" customHeight="1">
      <c r="A7" s="2" t="n">
        <v>6</v>
      </c>
      <c r="B7" s="2" t="inlineStr">
        <is>
          <t>R0722</t>
        </is>
      </c>
      <c r="C7" s="3" t="n"/>
      <c r="D7" s="3" t="n"/>
      <c r="E7" s="3" t="n"/>
      <c r="F7" s="2" t="n">
        <v>2026</v>
      </c>
      <c r="G7" s="2" t="inlineStr">
        <is>
          <t>Journal Article</t>
        </is>
      </c>
      <c r="H7" s="2" t="inlineStr">
        <is>
          <t>The Canadian journal of hospital pharmacy</t>
        </is>
      </c>
      <c r="I7" s="2" t="inlineStr">
        <is>
          <t>Changes in Medication Errors after Implementation of an Electronic Health Record System in a Canadian Community Hospital.</t>
        </is>
      </c>
      <c r="J7" s="2" t="inlineStr">
        <is>
          <t>BACKGROUND: The introduction of electronic health records (EHRs) and computerized physician order entry has been associated with a reduction in medication errors due to the safety features of these systems. OBJECTIVES: To identify changes in medication errors-specifically related to the types and severity of errors documented and the numbers and types of errors by clinical program-before and after implementation of an EHR system and to identify medication safety initiatives. METHODS: This retrospective observational study was conducted at a 2-campus, 500-bed Canadian community hospital before (April 10, 2019, to April 10, 2021) and after (April 11, 2021, to April 11, 2023) implementation of an EHR system. Data were categorized according to event type to ascertain changes in types of errors before and after EHR implementation by clinical program. Data were also collected to determine changes in the severity of errors, as well as changes in categories and changes in frequency of event types (e.g., barcode scanning, medications not ordered, incorrect orders). RESULTS: Totals of 1379 and 1269 medication errors were reported before and after EHR implementation, respectively. The reduction in frequency of errors was statistically significant (z score = 2.14). Overall, statistically significant reductions were observed for errors that did not reach the patient and for errors that reached the patient and necessitated increased monitoring. There were statistically significant decreases in errors secondary to medication(s) not being ordered (197 before vs 121 after EHR implementation) and medications being administered to the incorrect patient (58 vs 20, respectively). CONCLUSION: Implementation of the EHR system was associated with a reduction in overall medication incidents at the study institution. Findings from this study allowed the medication safety committee to identify targeted medication safety initiatives focused on barcode scanning (of both medications and patient identification) to reduce the frequency of patients receiving incorrect medications.</t>
        </is>
      </c>
      <c r="K7" s="2" t="n"/>
      <c r="L7" s="2" t="n"/>
      <c r="M7" s="4" t="inlineStr">
        <is>
          <t>https://doi.org/10.4212/cjhp.3798</t>
        </is>
      </c>
    </row>
    <row r="8" ht="240" customHeight="1">
      <c r="A8" s="2" t="n">
        <v>7</v>
      </c>
      <c r="B8" s="2" t="inlineStr">
        <is>
          <t>R1398</t>
        </is>
      </c>
      <c r="C8" s="3" t="n"/>
      <c r="D8" s="3" t="n"/>
      <c r="E8" s="3" t="n"/>
      <c r="F8" s="2" t="n">
        <v>2022</v>
      </c>
      <c r="G8" s="2" t="inlineStr">
        <is>
          <t>Journal Article</t>
        </is>
      </c>
      <c r="H8" s="2" t="inlineStr">
        <is>
          <t>Health services management research</t>
        </is>
      </c>
      <c r="I8" s="2" t="inlineStr">
        <is>
          <t>The interaction between high-level electronic medical record adoption and hospitalist staffing levels: A focus on value-based purchasing.</t>
        </is>
      </c>
      <c r="J8" s="2" t="inlineStr">
        <is>
          <t>OBJECTIVE: This study sought to understand the relationship of hospital performance with high-level electronic medical record (EMR) adoption, hospitalists staffing levels, and their potential interaction. MATERIALS AND METHODS: We evaluated 2,699 non-federal, general acute hospitals using 2016 data merged from four data sources. We performed ordinal logistic regression of hospitals' total performance score (TPS) on their EMR capability and hospitalists staffing level while controlling for other market- and individual-level characteristics. RESULTS: Hospitalists staffing level is shown to be positively correlated with TPS. High-level EMR adoption is associated with both short-term and long-term improvement on TPS. Large, urban, non-federal government hospitals, and academic medical centers tend to have lower TPS compared to their respective counterparts. Hospitals belonging to medium- or large-sized healthcare systems have lower TPS. Higher registered nurse (RN) staffing level is associated with higher TPS, while higher percentage of Medicare or Medicaid share of inpatient days is associated with lower TPS. DISCUSSION: Although the main effects of hospitalists staffing level and EMR capability are significant, their interaction is not, suggesting that hospitalists and EMR act through separate mechanisms to help hospitals achieve better performance. When hospitals are not able to invest on both simultaneously, given financial constraints, they can still reap the full benefits from each. CONCLUSION: Hospitalists staffing level and EMR capability are both positively correlated with hospitals' TPS, and they act independently to bolster hospital performance.</t>
        </is>
      </c>
      <c r="K8" s="2" t="n"/>
      <c r="L8" s="2" t="n"/>
      <c r="M8" s="4" t="inlineStr">
        <is>
          <t>https://doi.org/10.1177/09514848211001696</t>
        </is>
      </c>
    </row>
    <row r="9" ht="58" customHeight="1">
      <c r="A9" s="2" t="n">
        <v>8</v>
      </c>
      <c r="B9" s="2" t="inlineStr">
        <is>
          <t>R0493</t>
        </is>
      </c>
      <c r="C9" s="3" t="n"/>
      <c r="D9" s="3" t="n"/>
      <c r="E9" s="3" t="n"/>
      <c r="F9" s="2" t="n">
        <v>2015</v>
      </c>
      <c r="G9" s="2" t="inlineStr">
        <is>
          <t>Journal Article</t>
        </is>
      </c>
      <c r="H9" s="2" t="inlineStr">
        <is>
          <t>Michigan medicine</t>
        </is>
      </c>
      <c r="I9" s="2" t="inlineStr">
        <is>
          <t>Critical Success Factors for a Successful EHR Implementation for Physicians Practices.</t>
        </is>
      </c>
      <c r="J9" s="2" t="inlineStr">
        <is>
          <t>[no abstract - screen on title, venue, and document type]</t>
        </is>
      </c>
      <c r="K9" s="2" t="n"/>
      <c r="L9" s="2" t="n"/>
      <c r="M9" s="2" t="n"/>
    </row>
    <row r="10" ht="292" customHeight="1">
      <c r="A10" s="2" t="n">
        <v>9</v>
      </c>
      <c r="B10" s="2" t="inlineStr">
        <is>
          <t>R0443</t>
        </is>
      </c>
      <c r="C10" s="3" t="n"/>
      <c r="D10" s="3" t="n"/>
      <c r="E10" s="3" t="n"/>
      <c r="F10" s="2" t="n">
        <v>2018</v>
      </c>
      <c r="G10" s="2" t="inlineStr">
        <is>
          <t>Journal Article; Research Support, Non-U.S. Gov't</t>
        </is>
      </c>
      <c r="H10" s="2" t="inlineStr">
        <is>
          <t>Journal of medical Internet research</t>
        </is>
      </c>
      <c r="I10" s="2" t="inlineStr">
        <is>
          <t>Integration of eHealth Tools in the Process of Workplace Health Promotion: Proposal for Design and Implementation.</t>
        </is>
      </c>
      <c r="J10" s="2" t="inlineStr">
        <is>
          <t>BACKGROUND: Electronic health (eHealth) and mobile health (mHealth) tools can support and improve the whole process of workplace health promotion (WHP) projects. However, several challenges and opportunities have to be considered while integrating these tools in WHP projects. Currently, a large number of eHealth tools are developed for changing health behavior, but these tools can support the whole WHP process, including group administration, information flow, assessment, intervention development process, or evaluation. OBJECTIVE: To support a successful implementation of eHealth tools in the whole WHP processes, we introduce a concept of WHP (life cycle model of WHP) with 7 steps and present critical and success factors for the implementation of eHealth tools in each step. METHODS: We developed a life cycle model of WHP based on the World Health Organization (WHO) model of healthy workplace continual improvement process. We suggest adaptations to the WHO model to demonstrate the large number of possibilities to implement eHealth tools in WHP as well as possible critical points in the implementation process. RESULTS: eHealth tools can enhance the efficiency of WHP in each of the 7 steps of the presented life cycle model of WHP. Specifically, eHealth tools can support by offering easier administration, providing an information and communication platform, supporting assessments, presenting and discussing assessment results in a dashboard, and offering interventions to change individual health behavior. Important success factors include the possibility to give automatic feedback about health parameters, create incentive systems, or bring together a large number of health experts in one place. Critical factors such as data security, anonymity, or lack of management involvement have to be addressed carefully to prevent nonparticipation and dropouts. CONCLUSIONS: Using eHealth tools can support WHP, but clear regulations for the usage and implementation of these tools at the workplace are needed to secure quality and reach sustainable results.</t>
        </is>
      </c>
      <c r="K10" s="2" t="n"/>
      <c r="L10" s="2" t="n"/>
      <c r="M10" s="4" t="inlineStr">
        <is>
          <t>https://doi.org/10.2196/jmir.8769</t>
        </is>
      </c>
    </row>
    <row r="11" ht="292" customHeight="1">
      <c r="A11" s="2" t="n">
        <v>10</v>
      </c>
      <c r="B11" s="2" t="inlineStr">
        <is>
          <t>R0593</t>
        </is>
      </c>
      <c r="C11" s="3" t="n"/>
      <c r="D11" s="3" t="n"/>
      <c r="E11" s="3" t="n"/>
      <c r="F11" s="2" t="n">
        <v>2019</v>
      </c>
      <c r="G11" s="2" t="inlineStr">
        <is>
          <t>Journal Article; Research Support, N.I.H., Extramural; Research Support, U.S. Gov't, P.H.S.</t>
        </is>
      </c>
      <c r="H11" s="2" t="inlineStr">
        <is>
          <t>Applied clinical informatics</t>
        </is>
      </c>
      <c r="I11" s="2" t="inlineStr">
        <is>
          <t>Electronic Health Record Adoption and Nurse Reports of Usability and Quality of Care: The Role of Work Environment.</t>
        </is>
      </c>
      <c r="J11" s="2" t="inlineStr">
        <is>
          <t>BACKGROUND: Despite evidence suggesting higher quality and safer care in hospitals with comprehensive electronic health record (EHR) systems, factors related to advanced system usability remain largely unknown, particularly among nurses. Little empirical research has examined sociotechnical factors, such as the work environment, that may shape the relationship between advanced EHR adoption and quality of care. OBJECTIVE: The objective of this study was to examine the independent and joint effects of comprehensive EHR adoption and the hospital work environment on nurse reports of EHR usability and nurse-reported quality of care and safety. METHODS: This study was a secondary analysis of nurse and hospital survey data. Unadjusted and adjusted logistic regression models were used to assess the relationship between EHR adoption level, work environment, and a set of EHR usability and quality/safety outcomes. The sample included 12,377 nurses working in 353 hospitals. RESULTS: In fully adjusted models, comprehensive EHR adoption was associated with lower odds of nurses reporting poor usability outcomes, such as dissatisfaction with the system (odds ratio [OR]: 0.75; 95% confidence interval [CI]: 0.61-0.92). The work environment was associated with all usability outcomes with nurses in better environments being less likely to report negatively. Comprehensive EHRs (OR: 0.83; 95% CI: 0.71-0.96) and better work environments (OR: 0.47; 95% CI: 0.42-0.52) were associated with lower odds of nurses reporting fair/poor quality of care, while poor patient safety grade was associated with the work environment (OR: 0.50; 95% CI: 0.46-0.54), but not EHR adoption level. CONCLUSION: Our findings suggest that adoption of a comprehensive EHR is associated with more positive usability ratings and higher quality of care. We also found that-independent of EHR adoption level-the hospital work environment plays a significant role in how nurses evaluate EHR usability and whether EHRs have their intended effects on improving quality and safety of care.</t>
        </is>
      </c>
      <c r="K11" s="2" t="n"/>
      <c r="L11" s="2" t="n"/>
      <c r="M11" s="4" t="inlineStr">
        <is>
          <t>https://doi.org/10.1055/s-0039-1678551</t>
        </is>
      </c>
    </row>
    <row r="12" ht="110" customHeight="1">
      <c r="A12" s="2" t="n">
        <v>11</v>
      </c>
      <c r="B12" s="2" t="inlineStr">
        <is>
          <t>R1223</t>
        </is>
      </c>
      <c r="C12" s="3" t="n"/>
      <c r="D12" s="3" t="n"/>
      <c r="E12" s="3" t="n"/>
      <c r="F12" s="2" t="n">
        <v>2017</v>
      </c>
      <c r="G12" s="2" t="inlineStr">
        <is>
          <t>Journal Article</t>
        </is>
      </c>
      <c r="H12" s="2" t="inlineStr">
        <is>
          <t>Administration and policy in mental health</t>
        </is>
      </c>
      <c r="I12" s="2" t="inlineStr">
        <is>
          <t>Integrating the Electronic Health Record into Behavioral Health Encounters: Strategies, Barriers, and Implications for Practice.</t>
        </is>
      </c>
      <c r="J12" s="2" t="inlineStr">
        <is>
          <t>Despite increasing rates of electronic health record (EHR) adoption, the impact of these systems on the delivery of behavioral health treatment remains poorly understood. This qualitative study examined the experiences of 37 behavioral health providers using EHRs during face-to-face visits. Providers described environmental, relational and system related strategies that were used to meaningfully integrate EHRs into treatment and enhance the patient-centeredness of clinical encounters. Barriers to deploying these techniques were also identified. Results contribute to limited research exploring EHR use in behavioral health care, and provide important insight into how systems can be optimized within this context.</t>
        </is>
      </c>
      <c r="K12" s="2" t="n"/>
      <c r="L12" s="2" t="n"/>
      <c r="M12" s="4" t="inlineStr">
        <is>
          <t>https://doi.org/10.1007/s10488-015-0676-3</t>
        </is>
      </c>
    </row>
    <row r="13" ht="32" customHeight="1">
      <c r="A13" s="2" t="n">
        <v>12</v>
      </c>
      <c r="B13" s="2" t="inlineStr">
        <is>
          <t>R0617</t>
        </is>
      </c>
      <c r="C13" s="3" t="n"/>
      <c r="D13" s="3" t="n"/>
      <c r="E13" s="3" t="n"/>
      <c r="F13" s="2" t="n">
        <v>2017</v>
      </c>
      <c r="G13" s="2" t="inlineStr">
        <is>
          <t>Journal Article</t>
        </is>
      </c>
      <c r="H13" s="2" t="inlineStr">
        <is>
          <t>Pediatrics</t>
        </is>
      </c>
      <c r="I13" s="2" t="inlineStr">
        <is>
          <t>Barriers to Pediatric Health Information Exchange.</t>
        </is>
      </c>
      <c r="J13" s="2" t="inlineStr">
        <is>
          <t>[no abstract - screen on title, venue, and document type]</t>
        </is>
      </c>
      <c r="K13" s="2" t="n"/>
      <c r="L13" s="2" t="n"/>
      <c r="M13" s="4" t="inlineStr">
        <is>
          <t>https://doi.org/10.1542/peds.2016-2653</t>
        </is>
      </c>
    </row>
    <row r="14" ht="149" customHeight="1">
      <c r="A14" s="2" t="n">
        <v>13</v>
      </c>
      <c r="B14" s="2" t="inlineStr">
        <is>
          <t>R1340</t>
        </is>
      </c>
      <c r="C14" s="3" t="n"/>
      <c r="D14" s="3" t="n"/>
      <c r="E14" s="3" t="n"/>
      <c r="F14" s="2" t="n">
        <v>2023</v>
      </c>
      <c r="G14" s="2" t="inlineStr">
        <is>
          <t>Consensus Statement; Journal Article; Research Support, Non-U.S. Gov't</t>
        </is>
      </c>
      <c r="H14" s="2" t="inlineStr">
        <is>
          <t>Applied clinical informatics</t>
        </is>
      </c>
      <c r="I14" s="2" t="inlineStr">
        <is>
          <t>Identifying and Addressing Barriers to Implementing Core Electronic Health Record Use Metrics for Ambulatory Care: Virtual Consensus Conference Proceedings.</t>
        </is>
      </c>
      <c r="J14" s="2" t="inlineStr">
        <is>
          <t>Precise, reliable, valid metrics that are cost-effective and require reasonable implementation time and effort are needed to drive electronic health record (EHR) improvements and decrease EHR burden. Differences exist between research and vendor definitions of metrics. PROCESS: We convened three stakeholder groups (health system informatics leaders, EHR vendor representatives, and researchers) in a virtual workshop series to achieve consensus on barriers, solutions, and next steps to implementing the core EHR use metrics in ambulatory care. CONCLUSION: Actionable solutions identified to address core categories of EHR metric implementation challenges include: (1) maintaining broad stakeholder engagement, (2) reaching agreement on standardized measure definitions across vendors, (3) integrating clinician perspectives, and (4) addressing cognitive and EHR burden. Building upon the momentum of this workshop's outputs offers promise for overcoming barriers to implementing EHR use metrics.</t>
        </is>
      </c>
      <c r="K14" s="2" t="n"/>
      <c r="L14" s="2" t="n"/>
      <c r="M14" s="4" t="inlineStr">
        <is>
          <t>https://doi.org/10.1055/a-2187-3243</t>
        </is>
      </c>
    </row>
    <row r="15" ht="162" customHeight="1">
      <c r="A15" s="2" t="n">
        <v>14</v>
      </c>
      <c r="B15" s="2" t="inlineStr">
        <is>
          <t>R1204</t>
        </is>
      </c>
      <c r="C15" s="3" t="n"/>
      <c r="D15" s="3" t="n"/>
      <c r="E15" s="3" t="n"/>
      <c r="F15" s="2" t="n">
        <v>2020</v>
      </c>
      <c r="G15" s="2" t="inlineStr">
        <is>
          <t>Journal Article</t>
        </is>
      </c>
      <c r="H15" s="2" t="inlineStr">
        <is>
          <t>Health informatics journal</t>
        </is>
      </c>
      <c r="I15" s="2" t="inlineStr">
        <is>
          <t>An evidence-based strategy to achieve equivalency and interoperability for social-behavioral determinants of health assessment, storage, exchange, and use.</t>
        </is>
      </c>
      <c r="J15" s="2" t="inlineStr">
        <is>
          <t>The interoperable exchange of social-behavioral determinants of health data is challenging due to complex factors including multiple recommendations, multiple tools with varying domains, scoring, and cutpoints, and lack of terminology code sets for storing assessments and findings. This article describes a strategy that permits scoring by social-behavioral determinants of health domain to create interoperability and equivalency across tools, settings, and populations. The three-tier scoring strategy converts social-behavioral determinants of health data to (1) be used immediately at point of care by identifying social needs or social risk factors, (2) be consumed within analytics and algorithms and for secondary analysis, and (3) produce total scores that reflect social determinant burden and behavioral determinant burden across populations and settings within a healthcare system. The strategy supports the six uses recommended by the National Academy of Medicine, provides flexibility in choice of social-behavioral determinants of health tool, and leverages the power of social-behavioral determinants of health data in healthcare delivery.</t>
        </is>
      </c>
      <c r="K15" s="2" t="n"/>
      <c r="L15" s="2" t="n"/>
      <c r="M15" s="4" t="inlineStr">
        <is>
          <t>https://doi.org/10.1177/1460458219882265</t>
        </is>
      </c>
    </row>
    <row r="16" ht="240" customHeight="1">
      <c r="A16" s="2" t="n">
        <v>15</v>
      </c>
      <c r="B16" s="2" t="inlineStr">
        <is>
          <t>R0091</t>
        </is>
      </c>
      <c r="C16" s="3" t="n"/>
      <c r="D16" s="3" t="n"/>
      <c r="E16" s="3" t="n"/>
      <c r="F16" s="2" t="n">
        <v>2023</v>
      </c>
      <c r="G16" s="2" t="inlineStr">
        <is>
          <t>Journal Article</t>
        </is>
      </c>
      <c r="H16" s="2" t="inlineStr">
        <is>
          <t>Journal of addiction medicine</t>
        </is>
      </c>
      <c r="I16" s="2" t="inlineStr">
        <is>
          <t>Implementation of a Naloxone Best Practice Advisory Into an Electronic Health Record.</t>
        </is>
      </c>
      <c r="J16" s="2" t="inlineStr">
        <is>
          <t>OBJECTIVES: Naloxone is a harm reduction tool for mitigating the rising rate of opioid overdose deaths. We sought to develop and implement an alert in the electronic health record outlining which patients are at higher risk of opioid overdose and should be coprescribed naloxone. Our aim was to increase coprescribing of naloxone to qualified patients. We also endeavored to evaluate naloxone prescription volume, fill rates, and statewide dispenses before and after alert implementation. METHODS: We developed the electronic alert according to a state opioid safety initiative specifying under which conditions it should activate. We collected data on naloxone prescriptions ordered in the 5 months before and after alert implementation and unique patients with a naloxone dispense statewide. We used internal pharmacy data to evaluate the percentage of fills and used a χ 2 test to assess changes in percentage of fills. We used descriptive statistics and t tests to analyze changes in the number of prescriptions and changes in unique patients dispensed naloxone. RESULTS: We found a 2144% increase in the number of monthly naloxone prescriptions written after the alert became active. There was no statistically significant change in the percentage of fills. There was a 402.8% increase in unique patients statewide with a naloxone dispense after alert implementation. CONCLUSIONS: Designing and implementing an electronic alert prompting naloxone coprescription are feasible and were associated with substantial increases in numbers of naloxone prescriptions and patients with naloxone dispenses statewide. Our findings expand on prior literature about electronic decision support for naloxone coprescription.</t>
        </is>
      </c>
      <c r="K16" s="2" t="n"/>
      <c r="L16" s="2" t="n"/>
      <c r="M16" s="4" t="inlineStr">
        <is>
          <t>https://doi.org/10.1097/ADM.0000000000001102</t>
        </is>
      </c>
    </row>
    <row r="17" ht="175" customHeight="1">
      <c r="A17" s="2" t="n">
        <v>16</v>
      </c>
      <c r="B17" s="2" t="inlineStr">
        <is>
          <t>R1079</t>
        </is>
      </c>
      <c r="C17" s="3" t="n"/>
      <c r="D17" s="3" t="n"/>
      <c r="E17" s="3" t="n"/>
      <c r="F17" s="2" t="n">
        <v>2026</v>
      </c>
      <c r="G17" s="2" t="inlineStr">
        <is>
          <t>Journal Article; Scoping Review</t>
        </is>
      </c>
      <c r="H17" s="2" t="inlineStr">
        <is>
          <t>Studies in health technology and informatics</t>
        </is>
      </c>
      <c r="I17" s="2" t="inlineStr">
        <is>
          <t>Interoperability Barriers in the European Health Data Space: A Scoping Review.</t>
        </is>
      </c>
      <c r="J17" s="2" t="inlineStr">
        <is>
          <t>The European Health Data Space (EHDS) is the EU's most ambitious attempt to standardize cross-border data sharing, yet implementation faces significant interoperability challenges. This scoping review synthesizes literature on EHDS readiness across EU Member States to identify key barriers to seamless data sharing. Using Arksey and O'Malley's five-stage framework, 11 sources addressing EHDS implementation, patient care pathway coordination, and interoperability requirements were analyzed. The findings reveal that while the EHDS addresses technical standardization through frameworks like the European Electronic Health Record exchange Format (EEHRxF), persistent disparities in national implementations create semantic, organizational, and social gaps. Member States show varying adoption of standards such as HL7 FHIR and OMOP, with few shared metadata catalogues. The study contributes a systematic categorization of EHDS interoperability barriers across technical, organizational, and legal dimensions, identifying which challenges the regulation directly addresses versus those requiring additional Member State coordination. These insights inform prioritization strategies for European health informatics standardization efforts.</t>
        </is>
      </c>
      <c r="K17" s="2" t="n"/>
      <c r="L17" s="2" t="n"/>
      <c r="M17" s="4" t="inlineStr">
        <is>
          <t>https://doi.org/10.3233/SHTI260408</t>
        </is>
      </c>
    </row>
    <row r="18" ht="253" customHeight="1">
      <c r="A18" s="2" t="n">
        <v>17</v>
      </c>
      <c r="B18" s="2" t="inlineStr">
        <is>
          <t>R1347</t>
        </is>
      </c>
      <c r="C18" s="3" t="n"/>
      <c r="D18" s="3" t="n"/>
      <c r="E18" s="3" t="n"/>
      <c r="F18" s="2" t="n">
        <v>2024</v>
      </c>
      <c r="G18" s="2" t="inlineStr">
        <is>
          <t>Journal Article</t>
        </is>
      </c>
      <c r="H18" s="2" t="inlineStr">
        <is>
          <t>JAMIA open</t>
        </is>
      </c>
      <c r="I18" s="2" t="inlineStr">
        <is>
          <t>Barriers and facilitators to effective electronic health record-based sepsis screening in the pediatric intensive care unit.</t>
        </is>
      </c>
      <c r="J18" s="2" t="inlineStr">
        <is>
          <t>INTRODUCTION: The Pediatric Surviving Sepsis Campaign supports the implementation of automated tools for early sepsis recognition. In 2019 the C.S. Mott Children's Hospital Pediatric Intensive Care Unit deployed an electronic medical record (EMR)-based screening for early recognition and treatment of sepsis. MATERIALS AND METHODS: We analyzed all automated primary sepsis alerts, secondary screens, and bedside huddles from November 2019 to January 2020 (Cohort 1) and from November 2020 to January 2021 (Cohort 2) to identify barriers and facilitators for the use of this tool. We distributed surveys to frontline providers to gather feedback on end-user experience. RESULTS: In Cohort 1, 895 primary alerts were triggered, yielding 503 completed secondary screens and 40 bedside huddles. In Cohort 2, 925 primary alerts were triggered, yielding 532 completed secondary screens and 12 bedside huddles. Surveys assessing end-user experience identified the following facilitators: (1) 73% of nurses endorsed the bedside huddle as value added; (2) 74% of medical providers agreed the bedside huddle increased the likelihood of interventions. The greatest barriers to successful implementation included the (1) overall large number of primary alerts from the automated tool and (2) rate of false alerts, many due to routine respiratory therapy interventions. DISCUSSION: Our data suggests that the successful implementation of EMR-based sepsis screening tools requires countermeasures focusing on 3 key drivers for change: education, technology, and patient safety. CONCLUSION: While both medical providers and bedside nurses found merit in our EMR-based sepsis early recognition system, continued refinement is necessary to avoid sepsis alert fatigue.</t>
        </is>
      </c>
      <c r="K18" s="2" t="n"/>
      <c r="L18" s="2" t="n"/>
      <c r="M18" s="4" t="inlineStr">
        <is>
          <t>https://doi.org/10.1093/jamiaopen/ooae048</t>
        </is>
      </c>
    </row>
    <row r="19" ht="253" customHeight="1">
      <c r="A19" s="2" t="n">
        <v>18</v>
      </c>
      <c r="B19" s="2" t="inlineStr">
        <is>
          <t>R1449</t>
        </is>
      </c>
      <c r="C19" s="3" t="n"/>
      <c r="D19" s="3" t="n"/>
      <c r="E19" s="3" t="n"/>
      <c r="F19" s="2" t="n">
        <v>2025</v>
      </c>
      <c r="G19" s="2" t="inlineStr">
        <is>
          <t>Journal Article</t>
        </is>
      </c>
      <c r="H19" s="2" t="inlineStr">
        <is>
          <t>Australian health review : a publication of the Australian Hospital Association</t>
        </is>
      </c>
      <c r="I19" s="2" t="inlineStr">
        <is>
          <t>Navigating medication safety with electronic medical records: insights from a dual-phase implementation in paediatric, neonatal and maternity care.</t>
        </is>
      </c>
      <c r="J19" s="2" t="inlineStr">
        <is>
          <t>OBJECTIVE: Electronic medical record (EMR) implementations can disrupt clinical workflows and impact medication safety. This study evaluated the effect of a two-phase EMR roll-out on medication safety events within the Women's and Children's Division of a large tertiary public hospital. METHODS: We conducted a retrospective real-world difference-in-differences analysis using negative binomial regression to accommodate overdispersion in incident counts. Two activation phases (30 June 2021 and 1 January 2024) were compared against non-activated areas. Data spanning January 2020 to February 2024 were extracted from the Safety Learning System. Natural language processing (spaCy) identified both direct mentions and semantically similar references to 'electronic medical record,' 'EMR' and 'electronic prescribing' for supplementary sensitivity analyses. RESULTS: Following each activation, minor (Incident Severity Rating 3) and near miss (Incident Severity Rating 4) incidents showed a short-lived rise - peaking within 1 month of go-live - then returned to pre-implementation levels. No statistically significant long-term changes in overall medication safety event trends were observed (all P &gt; 0.75). Natural language processing-detected EMR mentions increased immediately post-activation, but did not persist. CONCLUSIONS: Phased EMR implementation was not associated with sustained alterations in medication safety event rates. Transient near miss increases likely reflect heightened reporting awareness rather than true error surges. Future evaluations should broaden text-mining filters, incorporate manual content review and use mixed-methods designs to ensure comprehensive detection of EMR-related safety signals and to capture clinician workflow impacts.</t>
        </is>
      </c>
      <c r="K19" s="2" t="n"/>
      <c r="L19" s="2" t="n"/>
      <c r="M19" s="4" t="inlineStr">
        <is>
          <t>https://doi.org/10.1071/AH24344</t>
        </is>
      </c>
    </row>
    <row r="20" ht="370" customHeight="1">
      <c r="A20" s="2" t="n">
        <v>19</v>
      </c>
      <c r="B20" s="2" t="inlineStr">
        <is>
          <t>R0764</t>
        </is>
      </c>
      <c r="C20" s="3" t="n"/>
      <c r="D20" s="3" t="n"/>
      <c r="E20" s="3" t="n"/>
      <c r="F20" s="2" t="n">
        <v>2021</v>
      </c>
      <c r="G20" s="2" t="inlineStr">
        <is>
          <t>Journal Article; Research Support, Non-U.S. Gov't</t>
        </is>
      </c>
      <c r="H20" s="2" t="inlineStr">
        <is>
          <t>Anesthesia and analgesia</t>
        </is>
      </c>
      <c r="I20" s="2" t="inlineStr">
        <is>
          <t>Successful Implementation of a Perioperative Data Warehouse Using Another Hospital's Published Specification From Epic's Electronic Health Record System.</t>
        </is>
      </c>
      <c r="J20" s="2" t="inlineStr">
        <is>
          <t>BACKGROUND: Many hospitals have replaced their legacy anesthesia information management system with an enterprise-wide electronic health record system. Integrating the anesthesia data within the context of the global hospital information infrastructure has created substantive challenges for many organizations. A process to build a perioperative data warehouse from Epic was recently published from the University of California Los Angeles (UCLA), but the generalizability of that process is unknown. We describe the implementation of their process at the University of Miami (UM). METHODS: The UCLA process was tested at UM, and performance was evaluated following the configuration of a reporting server and transfer of the required Clarity tables to that server. Modifications required for the code to execute correctly in the UM environment were identified and implemented, including the addition of locally specified elements in the database. RESULTS: The UCLA code to build the base tables in the perioperative data warehouse executed correctly after minor modifications to match the local server and database architecture at UM. The 26 stored procedures in the UCLA process all ran correctly using the default settings provided and populated the base tables. After modification of the item lists to reflect the UM implementation of Epic (eg, medications, laboratory tests, physiologic monitors, and anesthesia machine parameters), the UCLA code ran correctly and populated the base tables. The data from those tables were used successfully to populate the existing perioperative data warehouse at UM, which housed data from the legacy anesthesia information management system of the institution. The time to pull data from Epic and populate the perioperative data warehouse was 197 ± 47 minutes (standard deviation [SD]) on weekdays and 260 ± 56 minutes (SD) on weekend days, measured over 100 consecutive days. The longer times on weekends reflect the simultaneous execution of database maintenance tasks on the reporting server. The UCLA extract process has been in production at UM for the past 18 months and has been invaluable for quality assurance, business process, and research activities. CONCLUSIONS: The data schema developed at UCLA proved to be a practical and scalable method to extract information from the Epic electronic health system database into the perioperative data warehouse in use at UM. Implementing the process developed at UCLA to build a comprehensive perioperative data warehouse from Epic is an extensible process that other hospitals seeking more efficient access to their electronic health record data should consider.</t>
        </is>
      </c>
      <c r="K20" s="2" t="n"/>
      <c r="L20" s="2" t="n"/>
      <c r="M20" s="4" t="inlineStr">
        <is>
          <t>https://doi.org/10.1213/ANE.0000000000004806</t>
        </is>
      </c>
    </row>
    <row r="21" ht="201" customHeight="1">
      <c r="A21" s="2" t="n">
        <v>20</v>
      </c>
      <c r="B21" s="2" t="inlineStr">
        <is>
          <t>R1427</t>
        </is>
      </c>
      <c r="C21" s="3" t="n"/>
      <c r="D21" s="3" t="n"/>
      <c r="E21" s="3" t="n"/>
      <c r="F21" s="2" t="n">
        <v>2021</v>
      </c>
      <c r="G21" s="2" t="inlineStr">
        <is>
          <t>Journal Article</t>
        </is>
      </c>
      <c r="H21" s="2" t="inlineStr">
        <is>
          <t>Genetics in medicine : official journal of the American College of Medical Genetics</t>
        </is>
      </c>
      <c r="I21" s="2" t="inlineStr">
        <is>
          <t>Development and implementation of an electronic medical record module to track genetic testing results.</t>
        </is>
      </c>
      <c r="J21" s="2" t="inlineStr">
        <is>
          <t>PURPOSE: Genetic testing and results return pose many challenges, even in the era of electronic medical records. Whether results are positive or negative, genetic testing and return of results necessitate patient follow-up, referrals, and coordination between providers. Genetic evaluations typically utilize a variety of testing modalities with differing timetables and/or avenues to return. Therefore, genetic information requires a secondary, unified mechanism for storing and tracking results and communication to facilitate patient care. METHODS: We developed an electronic medical record (EMR) episodes-based module called Pediatric Genetic Tracking to provide a centralized summary of patient tracking information in a single-institution pediatric genetics setting. RESULTS: We created episodes for 6,133 patients evaluated in our division over a 3-year period. They highlighted clinical information for 1,901 different diagnoses and 547 genetic tests, and the involvement of 9 providers, 7 genetic counselors, 61 trainees, and 15 students using two modes of follow-up. CONCLUSION: This Pediatric Genetic Tracking episodes system serves as a "one-stop shop" living document for updated patient genetic information and can be easily expanded to include variant content for broader population level sharing or analysis. These episodes-based modules facilitate communication to support timely and accurate return of genetic test results and follow-up.</t>
        </is>
      </c>
      <c r="K21" s="2" t="n"/>
      <c r="L21" s="2" t="n"/>
      <c r="M21" s="4" t="inlineStr">
        <is>
          <t>https://doi.org/10.1038/s41436-020-01057-x</t>
        </is>
      </c>
    </row>
    <row r="22" ht="123" customHeight="1">
      <c r="A22" s="2" t="n">
        <v>21</v>
      </c>
      <c r="B22" s="2" t="inlineStr">
        <is>
          <t>R1132</t>
        </is>
      </c>
      <c r="C22" s="3" t="n"/>
      <c r="D22" s="3" t="n"/>
      <c r="E22" s="3" t="n"/>
      <c r="F22" s="2" t="n">
        <v>2026</v>
      </c>
      <c r="G22" s="2" t="inlineStr">
        <is>
          <t>Journal Article</t>
        </is>
      </c>
      <c r="H22" s="2" t="inlineStr">
        <is>
          <t>Antimicrobial stewardship &amp; healthcare epidemiology : ASHE</t>
        </is>
      </c>
      <c r="I22" s="2" t="inlineStr">
        <is>
          <t>Education and electronic health record implementation-better together? An assessment of compliance of oral vancomycin dosing for Clostridioides difficile infection and the impact of different antimicrobial stewardship interventions.</t>
        </is>
      </c>
      <c r="J22" s="2" t="inlineStr">
        <is>
          <t>[no abstract - screen on title, venue, and document type]</t>
        </is>
      </c>
      <c r="K22" s="2" t="n"/>
      <c r="L22" s="2" t="n"/>
      <c r="M22" s="4" t="inlineStr">
        <is>
          <t>https://doi.org/10.1017/ash.2025.10272</t>
        </is>
      </c>
    </row>
    <row r="23" ht="201" customHeight="1">
      <c r="A23" s="2" t="n">
        <v>22</v>
      </c>
      <c r="B23" s="2" t="inlineStr">
        <is>
          <t>R0544</t>
        </is>
      </c>
      <c r="C23" s="3" t="n"/>
      <c r="D23" s="3" t="n"/>
      <c r="E23" s="3" t="n"/>
      <c r="F23" s="2" t="n">
        <v>2025</v>
      </c>
      <c r="G23" s="2" t="inlineStr">
        <is>
          <t>Journal Article</t>
        </is>
      </c>
      <c r="H23" s="2" t="inlineStr">
        <is>
          <t>Frontiers in digital health</t>
        </is>
      </c>
      <c r="I23" s="2" t="inlineStr">
        <is>
          <t>A structured framework to improve usability in EHR implementation: a user-centered case study in Brazilian mental healthcare.</t>
        </is>
      </c>
      <c r="J23" s="2" t="inlineStr">
        <is>
          <t>BACKGROUND: Electronic Health Record (EHR) systems are central to digital health transformation, yet usability challenges continue to constrain their effectiveness, particularly in mental healthcare contexts. OBJECTIVES: To develop and describe a structured, user-centered framework for improving EHR usability based on a Brazilian outpatient mental health case study. METHODS: This qualitative design research study, guided by the Double Diamond design methodology, followed four iterative phases (Discover, Define, Develop, Deliver) and conducted qualitative interviews with 21 healthcare professionals. Data were organized using the Certainties, Suppositions, and Doubts (CSD) matrix and triangulated through heuristic evaluation and prototype testing. RESULTS: Key barriers included non-standardized navigation flows, limited integration with external systems, and inflexible documentation structures. Based on these findings, the study proposes design-driven improvements such as customizable templates, real-time validation features, and workflow-specific interface adjustments. CONCLUSIONS: By integrating service design logic with usability-driven interface adaptations and addressing both systemic usability gaps and contextual demands, this research contributes actionable insights for advancing human-centered EHR innovation, with particular relevance to complex mental healthcare workflows.</t>
        </is>
      </c>
      <c r="K23" s="2" t="n"/>
      <c r="L23" s="2" t="n"/>
      <c r="M23" s="4" t="inlineStr">
        <is>
          <t>https://doi.org/10.3389/fdgth.2025.1676631</t>
        </is>
      </c>
    </row>
    <row r="24" ht="201" customHeight="1">
      <c r="A24" s="2" t="n">
        <v>23</v>
      </c>
      <c r="B24" s="2" t="inlineStr">
        <is>
          <t>R0591</t>
        </is>
      </c>
      <c r="C24" s="3" t="n"/>
      <c r="D24" s="3" t="n"/>
      <c r="E24" s="3" t="n"/>
      <c r="F24" s="2" t="n">
        <v>2022</v>
      </c>
      <c r="G24" s="2" t="inlineStr">
        <is>
          <t>Journal Article; Research Support, Non-U.S. Gov't</t>
        </is>
      </c>
      <c r="H24" s="2" t="inlineStr">
        <is>
          <t>Journal of medical Internet research</t>
        </is>
      </c>
      <c r="I24" s="2" t="inlineStr">
        <is>
          <t>Implementation of the Flexible Assertive Community Treatment (FACT) Model in Norway: eHealth Assessment Study.</t>
        </is>
      </c>
      <c r="J24" s="2" t="inlineStr">
        <is>
          <t>BACKGROUND: Flexible Assertive Community Treatment (FACT) is a model for treatment of long-term severe mental disorders. This method has become more widespread in Norway. OBJECTIVE: The objective of our study was to examine how the implementation of FACT teams in Norway has been affected by eHealth policy, infrastructure, and regulations. Another objective was to examine existing literature on eHealth interventions and challenges within FACT teams. METHODS: We have examined Norwegian policy regulating mental health services, laws and regulations, eHealth infrastructure, relevant literature on FACT teams, and current implementation of FACT in Norway. RESULTS: FACT teams are a wanted part of the Norwegian service system, but the current eHealth infrastructure makes sharing of data within teams and levels of health care challenging, even if eHealth regulations allow such sharing. This has been shown to be an issue in the current implementation of FACT teams in Norway. There is little or no existing research on the eHealth challenges facing FACT teams. CONCLUSIONS: Weaknesses in the Norwegian eHealth infrastructure have been a barrier for an easy implementation of FACT teams in Norway. It is difficult to share information between the different levels of health care. We need systems that allow for easy, secure sharing of health information to and between the FACT team members and other involved health care workers.</t>
        </is>
      </c>
      <c r="K24" s="2" t="n"/>
      <c r="L24" s="2" t="n"/>
      <c r="M24" s="4" t="inlineStr">
        <is>
          <t>https://doi.org/10.2196/32220</t>
        </is>
      </c>
    </row>
    <row r="25" ht="58" customHeight="1">
      <c r="A25" s="2" t="n">
        <v>24</v>
      </c>
      <c r="B25" s="2" t="inlineStr">
        <is>
          <t>R0491</t>
        </is>
      </c>
      <c r="C25" s="3" t="n"/>
      <c r="D25" s="3" t="n"/>
      <c r="E25" s="3" t="n"/>
      <c r="F25" s="2" t="n">
        <v>2025</v>
      </c>
      <c r="G25" s="2" t="inlineStr">
        <is>
          <t>Journal Article</t>
        </is>
      </c>
      <c r="H25" s="2" t="inlineStr">
        <is>
          <t>PLOS digital health</t>
        </is>
      </c>
      <c r="I25" s="2" t="inlineStr">
        <is>
          <t>The heroes among us: Leveraging Africa's youth for effective digital health implementation in communities.</t>
        </is>
      </c>
      <c r="J25" s="2" t="inlineStr">
        <is>
          <t>[no abstract - screen on title, venue, and document type]</t>
        </is>
      </c>
      <c r="K25" s="2" t="n"/>
      <c r="L25" s="2" t="n"/>
      <c r="M25" s="4" t="inlineStr">
        <is>
          <t>https://doi.org/10.1371/journal.pdig.0000954</t>
        </is>
      </c>
    </row>
    <row r="26" ht="214" customHeight="1">
      <c r="A26" s="2" t="n">
        <v>25</v>
      </c>
      <c r="B26" s="2" t="inlineStr">
        <is>
          <t>R0365</t>
        </is>
      </c>
      <c r="C26" s="3" t="n"/>
      <c r="D26" s="3" t="n"/>
      <c r="E26" s="3" t="n"/>
      <c r="F26" s="2" t="n">
        <v>2017</v>
      </c>
      <c r="G26" s="2" t="inlineStr">
        <is>
          <t>Journal Article</t>
        </is>
      </c>
      <c r="H26" s="2" t="inlineStr">
        <is>
          <t>Computers, informatics, nursing : CIN</t>
        </is>
      </c>
      <c r="I26" s="2" t="inlineStr">
        <is>
          <t>The Relationship Between Magnet Designation, Electronic Health Record Adoption, and Medicare Meaningful Use Payments.</t>
        </is>
      </c>
      <c r="J26" s="2" t="inlineStr">
        <is>
          <t>The objective of this study was to examine the relationship between nursing excellence and electronic health record adoption. Of 6582 US hospitals, 4939 were eligible for the Medicare Electronic Health Record Incentive Program, and 6419 were eligible for evaluation on the HIMSS Analytics Electronic Medical Record Adoption Model. Of 399 Magnet hospitals, 330 were eligible for the Medicare Electronic Health Record Incentive Program, and 393 were eligible for evaluation in the HIMSS Analytics Electronic Medical Record Adoption Model. Meaningful use attestation was defined as receipt of a Medicare Electronic Health Record Incentive Program payment. The adoption electronic health record was defined as Level 6 and/or 7 on the HIMSS Analytics Electronic Medical Record Adoption Model. Logistic regression showed that Magnet-designated hospitals were more likely attest to Meaningful Use than non-Magnet hospitals (odds ratio = 3.58, P &lt; .001) and were more likely to adopt electronic health records than non-Magnet hospitals (Level 6 only: odds ratio = 3.68, P &lt; .001; Level 6 or 7: odds ratio = 4.02, P &lt; .001). This study suggested a positive relationship between Magnet status and electronic health record use, which involves earning financial incentives for successful adoption. Continued investigation is needed to examine the relationships between the quality of nursing care, electronic health record usage, financial implications, and patient outcomes.</t>
        </is>
      </c>
      <c r="K26" s="2" t="n"/>
      <c r="L26" s="2" t="n"/>
      <c r="M26" s="4" t="inlineStr">
        <is>
          <t>https://doi.org/10.1097/CIN.0000000000000336</t>
        </is>
      </c>
    </row>
    <row r="27" ht="240" customHeight="1">
      <c r="A27" s="2" t="n">
        <v>26</v>
      </c>
      <c r="B27" s="2" t="inlineStr">
        <is>
          <t>R0739</t>
        </is>
      </c>
      <c r="C27" s="3" t="n"/>
      <c r="D27" s="3" t="n"/>
      <c r="E27" s="3" t="n"/>
      <c r="F27" s="2" t="n">
        <v>2024</v>
      </c>
      <c r="G27" s="2" t="inlineStr">
        <is>
          <t>Journal Article</t>
        </is>
      </c>
      <c r="H27" s="2" t="inlineStr">
        <is>
          <t>BMC health services research</t>
        </is>
      </c>
      <c r="I27" s="2" t="inlineStr">
        <is>
          <t>Adoption and perception of prescribable digital health applications (DiGA) and the advancing digitalization among German internal medicine physicians: a cross-sectional survey study.</t>
        </is>
      </c>
      <c r="J27" s="2" t="inlineStr">
        <is>
          <t>BACKGROUND: Therapeutic digital health applications (DiGAs) are expected to significantly enhance access to evidence-based care. Since 2020, German physicians and psychotherapists have been able to prescribe approved DiGAs, which are reimbursed by statutory health insurance. This study investigates the usage, knowledge and perception of DiGAs as well as the growing digitalization among internal medicine physicians in Germany. METHODS: A web-based survey was distributed at the 2024 annual congress of the German Society for Internal Medicine. Participants could respond by scanning a QR code or directly on a tablet. RESULTS: A total of 100 physicians completed the survey, with a mean age of 43.4 years. The majority were internal medicine physicians (85%). Of the respondents, 31% had already prescribed DiGAs, and 29% had tested one. Self-rated knowledge of DiGAs was low (median score 3.17/10). The main barriers identified were lack of knowledge about effective implementation (60%), lack of time for patient onboarding (27%), and concerns about patient adherence (21%). However, 92% believed that DiGAs could improve care, and 88% expressed interest in specific digital health training. The majority (64%) stated that digitalization had a positive impact on medical care and 39% of physicians expected their daily workload to decrease due to digitalization. In addition, 38% believed that the physician-patient relationship would improve as a result of digitalization. CONCLUSIONS: While physicians widely acknowledged the potential benefits of DiGAs, adoption and understanding remain limited. Specific training in digital health is crucial to accelerate digitalization in internal medicine.</t>
        </is>
      </c>
      <c r="K27" s="2" t="n"/>
      <c r="L27" s="2" t="n"/>
      <c r="M27" s="4" t="inlineStr">
        <is>
          <t>https://doi.org/10.1186/s12913-024-11807-1</t>
        </is>
      </c>
    </row>
    <row r="28" ht="110" customHeight="1">
      <c r="A28" s="2" t="n">
        <v>27</v>
      </c>
      <c r="B28" s="2" t="inlineStr">
        <is>
          <t>R0859</t>
        </is>
      </c>
      <c r="C28" s="3" t="n"/>
      <c r="D28" s="3" t="n"/>
      <c r="E28" s="3" t="n"/>
      <c r="F28" s="2" t="n">
        <v>2023</v>
      </c>
      <c r="G28" s="2" t="inlineStr">
        <is>
          <t>Published Erratum</t>
        </is>
      </c>
      <c r="H28" s="2" t="inlineStr">
        <is>
          <t>Implementation science communications</t>
        </is>
      </c>
      <c r="I28" s="2" t="inlineStr">
        <is>
          <t>Correction: Implementing an electronic health record dashboard for safe anticoagulant management: learning from qualitative interviews with existing and potential users to develop an implementation process.</t>
        </is>
      </c>
      <c r="J28" s="2" t="inlineStr">
        <is>
          <t>[no abstract - screen on title, venue, and document type]</t>
        </is>
      </c>
      <c r="K28" s="2" t="n"/>
      <c r="L28" s="2" t="n"/>
      <c r="M28" s="4" t="inlineStr">
        <is>
          <t>https://doi.org/10.1186/s43058-023-00412-8</t>
        </is>
      </c>
    </row>
    <row r="29" ht="266" customHeight="1">
      <c r="A29" s="2" t="n">
        <v>28</v>
      </c>
      <c r="B29" s="2" t="inlineStr">
        <is>
          <t>R0449</t>
        </is>
      </c>
      <c r="C29" s="3" t="n"/>
      <c r="D29" s="3" t="n"/>
      <c r="E29" s="3" t="n"/>
      <c r="F29" s="2" t="n">
        <v>2026</v>
      </c>
      <c r="G29" s="2" t="inlineStr">
        <is>
          <t>Journal Article</t>
        </is>
      </c>
      <c r="H29" s="2" t="inlineStr">
        <is>
          <t>Inquiry : a journal of medical care organization, provision and financing</t>
        </is>
      </c>
      <c r="I29" s="2" t="inlineStr">
        <is>
          <t>Accessing the Digital Health Application (DiGA) Market: Key Success Factors, Market Barriers and Strategies for Sustainable Adoption.</t>
        </is>
      </c>
      <c r="J29" s="2" t="inlineStr">
        <is>
          <t>Although the digital health application (DiGA) market in Germany offers great opportunities for developing powerful digital applications, it has also faced substantial challenges. DiGA are evidence-based digital interventions in Germany that have been established as reimbursable solutions. This initiative is being copied in other European countries, which have introduced similar pathways. This study systematically identifies and assesses key success factors, marketing and sales strategies and critical DiGA components affecting DiGA adoption. A mixed-methods approach was applied, combining semi-structured expert interviews (n = 32) with a quantitative survey (n = 142) among DiGA manufacturers, healthcare professionals, and industry experts. Statistical comparisons between high prescription volumes (&gt;15 000), moderate prescription volumes (2000-15 000) and low prescription volumes (&lt;2000) DiGA manufacturers were conducted to determine significant differences in factor scoring. The findings highlight three core drivers of DiGA success: robust clinical evidence, access to the right physicians, and awareness at the point of care. High regulatory burdens, the DiGA prescription process, and physicians' unawareness were identified as the greatest barriers to adoption. The indication-specific nature of DiGA success was evident, emphasizing the need for tailored go-to-market strategies. This study provides the first structured and data-driven analysis of DiGA commercialization success factors and major challenges. The results offer strategic guidance for manufacturers, emphasizing strategic prescriber access and regulatory adaptation as key enablers of sustainable adoption. Future research should further explore indication-specific strategies, regulatory impact assessments, and international validation to enhance DiGA scalability and integration into healthcare systems.</t>
        </is>
      </c>
      <c r="K29" s="2" t="n"/>
      <c r="L29" s="2" t="n"/>
      <c r="M29" s="4" t="inlineStr">
        <is>
          <t>https://doi.org/10.1177/00469580261433432</t>
        </is>
      </c>
    </row>
    <row r="30" ht="45" customHeight="1">
      <c r="A30" s="2" t="n">
        <v>29</v>
      </c>
      <c r="B30" s="2" t="inlineStr">
        <is>
          <t>R1035</t>
        </is>
      </c>
      <c r="C30" s="3" t="n"/>
      <c r="D30" s="3" t="n"/>
      <c r="E30" s="3" t="n"/>
      <c r="F30" s="2" t="n">
        <v>2017</v>
      </c>
      <c r="G30" s="2" t="inlineStr">
        <is>
          <t>Journal Article</t>
        </is>
      </c>
      <c r="H30" s="2" t="inlineStr">
        <is>
          <t>Missouri medicine</t>
        </is>
      </c>
      <c r="I30" s="2" t="inlineStr">
        <is>
          <t>Barriers and Benefits of EHR Usage in Missouri: A Five-Year Journey.</t>
        </is>
      </c>
      <c r="J30" s="2" t="inlineStr">
        <is>
          <t>[no abstract - screen on title, venue, and document type]</t>
        </is>
      </c>
      <c r="K30" s="2" t="n"/>
      <c r="L30" s="2" t="n"/>
      <c r="M30" s="2" t="n"/>
    </row>
    <row r="31" ht="58" customHeight="1">
      <c r="A31" s="2" t="n">
        <v>30</v>
      </c>
      <c r="B31" s="2" t="inlineStr">
        <is>
          <t>R0469</t>
        </is>
      </c>
      <c r="C31" s="3" t="n"/>
      <c r="D31" s="3" t="n"/>
      <c r="E31" s="3" t="n"/>
      <c r="F31" s="2" t="n">
        <v>2015</v>
      </c>
      <c r="G31" s="2" t="inlineStr">
        <is>
          <t>Letter</t>
        </is>
      </c>
      <c r="H31" s="2" t="inlineStr">
        <is>
          <t>Annals of internal medicine</t>
        </is>
      </c>
      <c r="I31" s="2" t="inlineStr">
        <is>
          <t>Progress and challenges in electronic health record adoption: findings from a national survey of physicians.</t>
        </is>
      </c>
      <c r="J31" s="2" t="inlineStr">
        <is>
          <t>[no abstract - screen on title, venue, and document type]</t>
        </is>
      </c>
      <c r="K31" s="2" t="n"/>
      <c r="L31" s="2" t="n"/>
      <c r="M31" s="4" t="inlineStr">
        <is>
          <t>https://doi.org/10.7326/L15-5060</t>
        </is>
      </c>
    </row>
    <row r="32" ht="344" customHeight="1">
      <c r="A32" s="2" t="n">
        <v>31</v>
      </c>
      <c r="B32" s="2" t="inlineStr">
        <is>
          <t>R0795</t>
        </is>
      </c>
      <c r="C32" s="3" t="n"/>
      <c r="D32" s="3" t="n"/>
      <c r="E32" s="3" t="n"/>
      <c r="F32" s="2" t="n">
        <v>2022</v>
      </c>
      <c r="G32" s="2" t="inlineStr">
        <is>
          <t>Journal Article; Research Support, Non-U.S. Gov't; Systematic Review</t>
        </is>
      </c>
      <c r="H32" s="2" t="inlineStr">
        <is>
          <t>Journal of medical Internet research</t>
        </is>
      </c>
      <c r="I32" s="2" t="inlineStr">
        <is>
          <t>Implementation of eHealth to Support Assessment and Decision-making for Residents With Dementia in Long-term Care: Systematic Review.</t>
        </is>
      </c>
      <c r="J32" s="2" t="inlineStr">
        <is>
          <t>BACKGROUND: As dementia progresses, symptoms and concerns increase, causing considerable distress for the person and their caregiver. The integration of care between care homes and health care services is vital to meet increasing care needs and maintain quality of life. However, care home access to high-quality health care is inequitable. eHealth can facilitate this by supporting remote specialist input on care processes, such as clinical assessment and decision-making, and streamlining care on site. How to best implement eHealth in the care home setting is unclear. OBJECTIVE: The aim of this review was to identify the key factors that influence the implementation of eHealth for people living with dementia in long-term care. METHODS: A systematic search of Embase, PsycINFO, MEDLINE, and CINAHL was conducted to identify studies published between 2000 and 2020. Studies were eligible if they focused on eHealth interventions to improve treatment and care assessment or decision-making for residents with dementia in care homes. Data were thematically analyzed and deductively mapped onto the 6 constructs of the adapted Consolidated Framework for Implementation Research (CFIR). The results are presented as a narrative synthesis. RESULTS: A total of 29 studies were included, focusing on a variety of eHealth interventions, including remote video consultations and clinical decision support tools. Key factors that influenced eHealth implementation were identified across all 6 constructs of the CFIR. Most concerned the inner setting construct on requirements for implementation in the care home, such as providing a conducive learning climate, engaged leadership, and sufficient training and resources. A total of 4 novel subconstructs were identified to inform the implementation requirements to meet resident needs and engage end users. CONCLUSIONS: Implementing eHealth in care homes for people with dementia is multifactorial and complex, involving interaction between residents, staff, and organizations. It requires an emphasis on the needs of residents and the engagement of end users in the implementation process. A novel conceptual model of the key factors was developed and translated into 18 practical recommendations on the implementation of eHealth in long-term care to guide implementers or innovators in care homes. Successful implementation of eHealth is required to maximize uptake and drive improvements in integrated health and social care.</t>
        </is>
      </c>
      <c r="K32" s="2" t="n"/>
      <c r="L32" s="2" t="n"/>
      <c r="M32" s="4" t="inlineStr">
        <is>
          <t>https://doi.org/10.2196/29837</t>
        </is>
      </c>
    </row>
    <row r="33" ht="331" customHeight="1">
      <c r="A33" s="2" t="n">
        <v>32</v>
      </c>
      <c r="B33" s="2" t="inlineStr">
        <is>
          <t>R0338</t>
        </is>
      </c>
      <c r="C33" s="3" t="n"/>
      <c r="D33" s="3" t="n"/>
      <c r="E33" s="3" t="n"/>
      <c r="F33" s="2" t="n">
        <v>2020</v>
      </c>
      <c r="G33" s="2" t="inlineStr">
        <is>
          <t>Journal Article; Randomized Controlled Trial</t>
        </is>
      </c>
      <c r="H33" s="2" t="inlineStr">
        <is>
          <t>BMC health services research</t>
        </is>
      </c>
      <c r="I33" s="2" t="inlineStr">
        <is>
          <t>Implementation and adoption of a health insurance support tool in the electronic health record: a mixed methods analysis within a randomized trial.</t>
        </is>
      </c>
      <c r="J33" s="2" t="inlineStr">
        <is>
          <t>BACKGROUND: In addition to delivering vital health care to millions of patients in the United States, community health centers (CHCs) provide needed health insurance outreach and enrollment support to their communities. We developed a health insurance enrollment tracking tool integrated within the electronic health record (EHR) and conducted a hybrid implementation-effectiveness trial in a CHC-based research network to assess tool adoption using two implementation strategies. METHODS: CHCs were recruited from the OCHIN practice-based research network. Seven health center systems (23 CHC clinic sites) were recruited and randomized to receive basic educational materials alone (Arm 1), or these materials plus facilitation (Arm 2) during the 18-month study period, September 2016-April 2018. Facilitation consisted of monthly contacts with clinic staff and utilized audit and feedback and guided improvement cycles. We measured total and monthly tool utilization from the EHR. We conducted structured interviews of CHC staff to assess factors associated with tool utilization. Qualitative data were analyzed using an immersion-crystallization approach with barriers and facilitators identified using the Consolidated Framework for Implementation Research. RESULTS: The majority of CHCs in both study arms adopted the enrollment tool. The rate of tool utilization was, on average, higher in Arm 2 compared to Arm 1 (20.0% versus 4.7%, p &lt; 0.01). However, by the end of the study period, the rate of tool utilization was similar in both arms; and observed between-arm differences in tool utilization were largely driven by a single, large health center in Arm 2. Perceived relative advantage of the tool was the key factor identified by clinic staff as driving tool utilization. Implementation climate and leadership engagement were also associated with tool utilization. CONCLUSIONS: Using basic education materials and low-intensity facilitation, CHCs quickly adopted an EHR-based tool to support critical outreach and enrollment activities aimed at improving access to health insurance in their communities. Though facilitation carried some benefit, a CHC's perceived relative advantage of the tool was the primary driver of decisions to implement the tool. TRIAL REGISTRATION: ClinicalTrials.gov: NCT02355262, Posted February 4, 2015.</t>
        </is>
      </c>
      <c r="K33" s="2" t="n"/>
      <c r="L33" s="2" t="n"/>
      <c r="M33" s="4" t="inlineStr">
        <is>
          <t>https://doi.org/10.1186/s12913-020-05317-z</t>
        </is>
      </c>
    </row>
    <row r="34" ht="266" customHeight="1">
      <c r="A34" s="2" t="n">
        <v>33</v>
      </c>
      <c r="B34" s="2" t="inlineStr">
        <is>
          <t>R0592</t>
        </is>
      </c>
      <c r="C34" s="3" t="n"/>
      <c r="D34" s="3" t="n"/>
      <c r="E34" s="3" t="n"/>
      <c r="F34" s="2" t="n">
        <v>2020</v>
      </c>
      <c r="G34" s="2" t="inlineStr">
        <is>
          <t>Journal Article; Research Support, Non-U.S. Gov't</t>
        </is>
      </c>
      <c r="H34" s="2" t="inlineStr">
        <is>
          <t>Journal of the American Medical Informatics Association : JAMIA</t>
        </is>
      </c>
      <c r="I34" s="2" t="inlineStr">
        <is>
          <t>Hospital adoption of electronic health record functions to support age-friendly care: results from a national survey.</t>
        </is>
      </c>
      <c r="J34" s="2" t="inlineStr">
        <is>
          <t>OBJECTIVE: To measure US hospitals' adoption of electronic health record (EHR) functions that support care for older adults, focusing on structured documentation of the 4Ms (What Matters, Medication, Mentation, and Mobility) and electronic health information exchange/communication with patients, caregivers, and long-term care providers. MATERIALS AND METHODS: In an online survey of a national, random sample of 797 US acute-care hospitals in 2018-2019, 479 (60.1%) responded. We calculated nationally representative measures of the percentages of hospitals with EHRs that include structured documentation of the 4Ms and exchange/communications functions. RESULTS: Structured EHR documentation of the 4Ms was fully implemented in at least 1 unit in 64.0% of hospitals and across all units in 41.5% of hospitals. Of the 4Ms, structured documentation was the highest for medications (91.3% in at least 1 unit) and the lowest for mentation (70.3% in at least 1 unit). All exchange/communication functions had been implemented in at least 1 unit in 16.2% of facilities and across all units in 7.6% of hospitals. Less than half of the hospitals had an EHR portal for long-term care facilities to access hospital information (45.4% in at least 1 unit), sent information electronically to long-term care facilities (44.6%), and had training for adults/caregivers on the patient portal (32.1%). DISCUSSION: Despite significant national investment in EHRs, hospital EHRs do not yet include key documentation, exchange, and communication functions needed to support evidence-based care for the older adults who comprise the majority of the inpatient population. Additional policy efforts are likely needed to promote the expansion of EHR capabilities into these high-value domains. CONCLUSIONS: US acute-care hospital EHRs are lacking key functions that support care for older adults.</t>
        </is>
      </c>
      <c r="K34" s="2" t="n"/>
      <c r="L34" s="2" t="n"/>
      <c r="M34" s="4" t="inlineStr">
        <is>
          <t>https://doi.org/10.1093/jamia/ocaa129</t>
        </is>
      </c>
    </row>
    <row r="35" ht="370" customHeight="1">
      <c r="A35" s="2" t="n">
        <v>34</v>
      </c>
      <c r="B35" s="2" t="inlineStr">
        <is>
          <t>R0361</t>
        </is>
      </c>
      <c r="C35" s="3" t="n"/>
      <c r="D35" s="3" t="n"/>
      <c r="E35" s="3" t="n"/>
      <c r="F35" s="2" t="n">
        <v>2020</v>
      </c>
      <c r="G35" s="2" t="inlineStr">
        <is>
          <t>Journal Article; Research Support, Non-U.S. Gov't</t>
        </is>
      </c>
      <c r="H35" s="2" t="inlineStr">
        <is>
          <t>Journal of medical Internet research</t>
        </is>
      </c>
      <c r="I35" s="2" t="inlineStr">
        <is>
          <t>Identification of Factors Influencing the Adoption of Health Information Technology by Nurses Who Are Digitally Lagging: In-Depth Interview Study.</t>
        </is>
      </c>
      <c r="J35" s="2" t="inlineStr">
        <is>
          <t>BACKGROUND: The introduction of health information technology (HIT) has drastically changed health care organizations and the way health care professionals work. Some health care professionals have trouble coping efficiently with the demands of HIT and the personal and professional changes it requires. Lagging in digital knowledge and skills hampers health care professionals from adhering to professional standards regarding the use of HIT and may cause professional performance problems, especially in the older professional population. It is important to gain more insight into the reasons and motivations behind the technology issues experienced by these professionals, as well as to explore what could be done to solve them. OBJECTIVE: Our primary research objective was to identify factors that influence the adoption of HIT in a sample of nurses who describe themselves as digitally lagging behind the majority of their colleagues in their workplaces. Furthermore, we aimed to formulate recommendations for practice and leadership on how to help and guide these nurses through ongoing digital transformations in their health care work settings. METHODS: In a Dutch university medical center, 10 face-to-face semi-structured interviews were performed with registered nurses (RN). Ammenwerth's FITT-framework (fit between the Individual, Task, and Technology) was used to guide the interview topic list and to formulate themes to explore. Thematic analysis was used to analyze the interview data. The FITT-framework was also used to further interpret and clarify the interview findings. RESULTS: Analyses of the interview data uncovered 5 main categories and 12 subthemes. The main categories were: (1) experience with digital working, (2) perception and meaning, (3) barriers, (4) facilitators, and (5) future perspectives. All participants used electronic devices and digital systems, including the electronic health record. The latter was experienced by some as user-unfriendly, time-consuming, and not supportive in daily professional practice. Most of the interviewees described digital working as "no fun at all," "working in a fake world," "stressful," and "annoying." There was a lack of general digital knowledge and little or no formal basic digital training or education. A negative attitude toward computer use and a lack of digital skills contributed to feelings of increased incompetency and postponement or avoidance of the use of HIT, both privately and professionally. Learning conditions of digital training and education did not meet personal learning needs and learning styles. [continues in next column]</t>
        </is>
      </c>
      <c r="K35" s="2" t="inlineStr">
        <is>
          <t>A positive impact was seen in the work environment when colleagues and nurse managers were aware and sensitive to the difficulties participants experienced in developing digital skills, and when there was continuous training on the job and peer support from digitally savvy colleagues. The availability of a digital play environment combined with learning on the job and support of knowledgeable peers was experienced as helpful and motivating by participants. CONCLUSIONS: Nurses who are digitally lagging often have had insufficient and ineffective digital education. This leads to stress, frustration, feelings of incompetency, and postponement or avoidance of HIT use. A digital training approach tailored to the learning needs and styles of these nurses is needed, as well as an on-the-job training structure and adequate peer support. Hospital management and nurse leadership should be informed about the importance of the fit between technology, task, and the individual for adequate adoption of HIT.</t>
        </is>
      </c>
      <c r="L35" s="2" t="n"/>
      <c r="M35" s="4" t="inlineStr">
        <is>
          <t>https://doi.org/10.2196/15630</t>
        </is>
      </c>
    </row>
    <row r="36" ht="97" customHeight="1">
      <c r="A36" s="2" t="n">
        <v>35</v>
      </c>
      <c r="B36" s="2" t="inlineStr">
        <is>
          <t>R0300</t>
        </is>
      </c>
      <c r="C36" s="3" t="n"/>
      <c r="D36" s="3" t="n"/>
      <c r="E36" s="3" t="n"/>
      <c r="F36" s="2" t="n">
        <v>2018</v>
      </c>
      <c r="G36" s="2" t="inlineStr">
        <is>
          <t>Journal Article</t>
        </is>
      </c>
      <c r="H36" s="2" t="inlineStr">
        <is>
          <t>Studies in health technology and informatics</t>
        </is>
      </c>
      <c r="I36" s="2" t="inlineStr">
        <is>
          <t>Obstacles to Successful Implementation of eHealth Applications into Clinical Practice.</t>
        </is>
      </c>
      <c r="J36" s="2" t="inlineStr">
        <is>
          <t>eHealth can improve healthcare worldwide, and scientific research should provide evidence on the efficacy, safety and added value of such interventions. For successful implementation of eHealth interventions into clinical practice, barriers need to be anticipated. We identified seven barriers by interviewing health professionals in the Dutch healthcare system. These barriers covered three topics: financing, human factors and organizational factors. This paper discusses their potential impact on eHealth uptake. Bridging the gap between studies to assess effective eHealth interventions and their value-based implementation in healthcare is much needed.</t>
        </is>
      </c>
      <c r="K36" s="2" t="n"/>
      <c r="L36" s="2" t="n"/>
      <c r="M36" s="2" t="n"/>
    </row>
    <row r="37" ht="240" customHeight="1">
      <c r="A37" s="2" t="n">
        <v>36</v>
      </c>
      <c r="B37" s="2" t="inlineStr">
        <is>
          <t>R1549</t>
        </is>
      </c>
      <c r="C37" s="3" t="n"/>
      <c r="D37" s="3" t="n"/>
      <c r="E37" s="3" t="n"/>
      <c r="F37" s="2" t="n">
        <v>2024</v>
      </c>
      <c r="G37" s="2" t="inlineStr">
        <is>
          <t>Comparative Study; Journal Article</t>
        </is>
      </c>
      <c r="H37" s="2" t="inlineStr">
        <is>
          <t>BMC medical informatics and decision making</t>
        </is>
      </c>
      <c r="I37" s="2" t="inlineStr">
        <is>
          <t>Differences in changes of data completeness after the implementation of an electronic medical record in three surgical departments of a German hospital-a longitudinal comparative document analysis.</t>
        </is>
      </c>
      <c r="J37" s="2" t="inlineStr">
        <is>
          <t>PURPOSE: The European health data space promises an efficient environment for research and policy-making. However, this data space is dependent on high data quality. The implementation of electronic medical record systems has a positive impact on data quality, but improvements are not consistent across empirical studies. This study aims to analyze differences in the changes of data quality and to discuss these against distinct stages of the electronic medical record's adoption process. METHODS: Paper-based and electronic medical records from three surgical departments were compared, assessing changes in data quality after the implementation of an electronic medical record system. Data quality was operationalized as completeness of documentation. Ten information that must be documented in both record types (e.g. vital signs) were coded as 1 if they were documented, otherwise as 0. Chi-Square-Tests were used to compare percentage completeness of these ten information and t-tests to compare mean completeness per record type. RESULTS: A total of N = 659 records were analyzed. Overall, the average completeness improved in the electronic medical record, with a change from 6.02 (SD = 1.88) to 7.2 (SD = 1.77). At the information level, eight information improved, one deteriorated and one remained unchanged. At the level of departments, changes in data quality show expected differences. CONCLUSION: The study provides evidence that improvements in data quality could depend on the process how the electronic medical record is adopted in the affected department. Research is needed to further improve data quality through implementing new electronical medical record systems or updating existing ones.</t>
        </is>
      </c>
      <c r="K37" s="2" t="n"/>
      <c r="L37" s="2" t="n"/>
      <c r="M37" s="4" t="inlineStr">
        <is>
          <t>https://doi.org/10.1186/s12911-024-02667-0</t>
        </is>
      </c>
    </row>
    <row r="38" ht="370" customHeight="1">
      <c r="A38" s="2" t="n">
        <v>37</v>
      </c>
      <c r="B38" s="2" t="inlineStr">
        <is>
          <t>R1547</t>
        </is>
      </c>
      <c r="C38" s="3" t="n"/>
      <c r="D38" s="3" t="n"/>
      <c r="E38" s="3" t="n"/>
      <c r="F38" s="2" t="n">
        <v>2023</v>
      </c>
      <c r="G38" s="2" t="inlineStr">
        <is>
          <t>Journal Article</t>
        </is>
      </c>
      <c r="H38" s="2" t="inlineStr">
        <is>
          <t>JMIR formative research</t>
        </is>
      </c>
      <c r="I38" s="2" t="inlineStr">
        <is>
          <t>A Community-Based, Mobile Electronic Medical Record System App for High-Quality, Integrated Antiretroviral Therapy in Lilongwe, Malawi: Design Process and Pilot Implementation.</t>
        </is>
      </c>
      <c r="J38" s="2" t="inlineStr">
        <is>
          <t>BACKGROUND: Differentiated service delivery (DSD) increases antiretroviral therapy (ART) access in sub-Saharan Africa by moving clients out of congested ART clinics to communities for care. However, DSD settings challenge provider adherence to complex, chronic care treatment guidelines and have burdensome systems for client monitoring and evaluation (M&amp;E), reducing data for decision-making. Electronic medical record systems (EMRS) improve client outcomes and reduce M&amp;E workload. Traditional EMRS cannot operate in most DSD settings with unreliable power and poor connectivity. OBJECTIVE: This study aims to detail the human-centered design (HCD) process of developing a mobile EMRS for community-based DSD services in Lilongwe, Malawi. METHODS: Lighthouse Trust (LT) operates 2 Ministry of Health (MoH) clinics in Lilongwe, Malawi, with a combined total of &gt;35,000 ART clients. LT's real-time, point-of-care EMRS collects complex client M&amp;E data and provides decision-making support, ensuring adherence to integrated HIV and tuberculosis guidelines that optimize client and program outcomes. LT's EMRS scaled to all large MoH ART clinics. LT also implements a nurse-led community-based ART program (NCAP), a DSD model to provide ART and rapid assessment for 2400 stable LT clients in the community. LT, alongside collaborators, from the University of Washington's International Training and Education Center for Health and technology partner, Medic, used the open-source Community Health Toolkit (CHT) and HCD to develop an open-source, offline-first, mobile EMRS-like app, "community-based ART retention and suppression" (CARES). CARES aims to bring EMRS-like provider benefits to NCAP's DSD clients. RESULTS: CARES design took approximately 12 months and used an iterative process of highly participatory feedback sessions with provider, data manager, and M&amp;E team inputs to ensure CARES optimization for the NCAP and LT settings. The CARES mobile EMRS prototype supports NCAP providers with embedded prompts and alerts to ensure adherence to integrated MoH ART guidelines, aiming to improve the quality of client care. CARES facilitates improved data quality and flow for NCAP M&amp;E, aiming to reduce data gaps between community and clinic settings. The CARES pilot demonstrates the potential of a mobile, point-of-care EMRS-like app that could benefit NCAP clients, providers, and program teams with integrated client care and complete M&amp;E data for decision-making. CARES challenges include app speed, search features to align longitudinal records, and CARES to EMRS integration that supports timely care alerts. [continues in next column]</t>
        </is>
      </c>
      <c r="K38" s="2" t="inlineStr">
        <is>
          <t>CONCLUSIONS: Leveraging the CHT and HCD processes facilitated the design of a locally specified and optimized mobile app with the promise to bring EMRS-like benefits to DSD settings. Moving from the CARES prototype to routine NCAP implementation should result in improved client care and strengthened M&amp;E while reducing workload. Our transparent and descriptive process shares the progress and pitfalls of the CARES design and development, helping others in this digital innovation area to learn from our experiences at this stage.</t>
        </is>
      </c>
      <c r="L38" s="2" t="n"/>
      <c r="M38" s="4" t="inlineStr">
        <is>
          <t>https://doi.org/10.2196/48671</t>
        </is>
      </c>
    </row>
    <row r="39" ht="370" customHeight="1">
      <c r="A39" s="2" t="n">
        <v>38</v>
      </c>
      <c r="B39" s="2" t="inlineStr">
        <is>
          <t>R0883</t>
        </is>
      </c>
      <c r="C39" s="3" t="n"/>
      <c r="D39" s="3" t="n"/>
      <c r="E39" s="3" t="n"/>
      <c r="F39" s="2" t="n">
        <v>2022</v>
      </c>
      <c r="G39" s="2" t="inlineStr">
        <is>
          <t>Journal Article</t>
        </is>
      </c>
      <c r="H39" s="2" t="inlineStr">
        <is>
          <t>JMIR formative research</t>
        </is>
      </c>
      <c r="I39" s="2" t="inlineStr">
        <is>
          <t>Creation of an Evidence-Based Implementation Framework for Digital Health Technology in the Intensive Care Unit: Qualitative Study.</t>
        </is>
      </c>
      <c r="J39" s="2" t="inlineStr">
        <is>
          <t>BACKGROUND: Digital health technologies such as continuous remote monitoring and artificial intelligence-driven clinical decision support systems could improve clinical outcomes in intensive care medicine. However, comprehensive evidence and guidelines for the successful implementation of digital health technologies into specific clinical settings such as the intensive care unit (ICU) are scarce. We evaluated the implementation of a remote patient monitoring platform and derived a framework proposal for the implementation of digital health technology in an ICU. OBJECTIVE: This study aims to investigate barriers and facilitators to the implementation of a remote patient monitoring technology and to develop a proposal for an implementation framework for digital health technology in the ICU. METHODS: This study was conducted from May 2018 to March 2020 during the implementation of a tablet computer-based remote patient monitoring system. The system was installed in the ICU of a large German university hospital as a supplementary monitoring device. Following a hybrid qualitative approach with inductive and deductive elements, we used the Consolidated Framework for Implementation Research and the Expert Recommendations for Implementing Change to analyze the transcripts of 7 semistructured interviews with clinical ICU stakeholders and descriptive questionnaire data. The results of the qualitative analysis, together with the findings from informal meetings, field observations, and previous explorations, provided the basis for the derivation of the proposed framework. RESULTS: This study revealed an insufficient implementation process due to lack of staff engagement and few perceived benefits from the novel solution. Further implementation barriers were the high staff presence and monitoring coverage in the ICU. The implementation framework includes strategies to be applied before and during implementation, targeting the implementation setting by involving all ICU stakeholders, assessing the intervention's adaptability, facilitating the implementation process, and maintaining a vital feedback culture. Setting up a unit responsible for implementation, considering the guidance of an implementation advisor, and building on existing institutional capacities could improve the institutional context of implementation projects in the ICU. CONCLUSIONS: Implementation of digital health in the ICU should involve a thorough preimplementation assessment of the ICU's need for innovation and its readiness to change, as well as an ongoing evaluation of the implementation conditions. [continues in next column]</t>
        </is>
      </c>
      <c r="K39" s="2" t="inlineStr">
        <is>
          <t>Involvement of all stakeholders, transparent communication, and continuous feedback in an equal atmosphere are essential, but leadership roles must be clearly defined and competently filled. Our proposed framework may guide health care providers with concrete, evidence-based, and step-by-step recommendations for implementation practice, facilitating the introduction of digital health in intensive care. TRIAL REGISTRATION: ClinicalTrials.gov NCT03514173; https://clinicaltrials.gov/ct2/show/NCT03514173.</t>
        </is>
      </c>
      <c r="L39" s="2" t="n"/>
      <c r="M39" s="4" t="inlineStr">
        <is>
          <t>https://doi.org/10.2196/22866</t>
        </is>
      </c>
    </row>
    <row r="40" ht="344" customHeight="1">
      <c r="A40" s="2" t="n">
        <v>39</v>
      </c>
      <c r="B40" s="2" t="inlineStr">
        <is>
          <t>R0682</t>
        </is>
      </c>
      <c r="C40" s="3" t="n"/>
      <c r="D40" s="3" t="n"/>
      <c r="E40" s="3" t="n"/>
      <c r="F40" s="2" t="n">
        <v>2022</v>
      </c>
      <c r="G40" s="2" t="inlineStr">
        <is>
          <t>Journal Article</t>
        </is>
      </c>
      <c r="H40" s="2" t="inlineStr">
        <is>
          <t>BMC health services research</t>
        </is>
      </c>
      <c r="I40" s="2" t="inlineStr">
        <is>
          <t>A comprehensive eHealth implementation guide constructed on a qualitative case study on barriers and facilitators of the digital care platform CMyLife.</t>
        </is>
      </c>
      <c r="J40" s="2" t="inlineStr">
        <is>
          <t>BACKGROUND: Substantial proliferation of eHealth has enabled a move in patient-centred cancer care from the traditional in-person care model to real-time, dynamic, and technology supported on-demand care. However, in general, the uptake of these innovations is low. Studies show that eHealth is helpful in providing patient empowerment through e.g. providing high quality and timely information, enabling self-monitoring and shared decision making, but dropout rates are high and guidance for optimal implementation is lacking. AIM: To explore barriers to and facilitators for nationwide implementation and consolidation of CMyLife, a multi-component, patient-centred, digital care platform, and to construct a comprehensive implementation guide for launching digital care platforms in daily clinical practice. METHODS: The first qualitative case study of a digital care platform like CMyLife was performed including five focus group- and eighteen in-depth interviews with stakeholders. Data were collected using a semi-structured interview guide, based on the frameworks of Grol and Flottorp. Transcripts of the interviews were analysed and barriers and facilitators were identified and categorized according to the frameworks. An iterative process including participation of main stakeholders and using the CFIR-ERIC framework led to creating a comprehensive implementation guide for digital care platforms. RESULTS: In total, 45 barriers and 41 facilitators were identified. Main barriers were lack of connectivity between information technology systems, changing role for both health care providers and patients, insufficient time and resources, doubts about privacy and security of data, and insufficient digital skills of users. Main facilitators mentioned were motivating patients and health care providers by clarifying the added value of use of a digital care platform, clear business case with vision, demonstrating (cost) effectiveness, using an implementation guide, and educating patients and health care providers about how to use CMyLife. Based on these barriers and facilitators a clear and comprehensive implementation guide was developed for digital care platforms. CONCLUSION: Several barriers to and facilitators for implementation were identified, a clear overview was presented, and a unique comprehensive implementation guide was developed for launching future digital care platforms in daily clinical practice. The next step is to validate the implementation guide in other (oncological) diseases.</t>
        </is>
      </c>
      <c r="K40" s="2" t="n"/>
      <c r="L40" s="2" t="n"/>
      <c r="M40" s="4" t="inlineStr">
        <is>
          <t>https://doi.org/10.1186/s12913-022-08020-3</t>
        </is>
      </c>
    </row>
    <row r="41" ht="305" customHeight="1">
      <c r="A41" s="2" t="n">
        <v>40</v>
      </c>
      <c r="B41" s="2" t="inlineStr">
        <is>
          <t>R1372</t>
        </is>
      </c>
      <c r="C41" s="3" t="n"/>
      <c r="D41" s="3" t="n"/>
      <c r="E41" s="3" t="n"/>
      <c r="F41" s="2" t="n">
        <v>2021</v>
      </c>
      <c r="G41" s="2" t="inlineStr">
        <is>
          <t>Journal Article; Research Support, Non-U.S. Gov't</t>
        </is>
      </c>
      <c r="H41" s="2" t="inlineStr">
        <is>
          <t>Frontiers in public health</t>
        </is>
      </c>
      <c r="I41" s="2" t="inlineStr">
        <is>
          <t>EHealth and Its Role in Supporting Audiological Rehabilitation: Patient Perspectives on Barriers and Facilitators of Using a Personal Hearing Support System With Mobile Application as Part of the EVOTION Study.</t>
        </is>
      </c>
      <c r="J41" s="2" t="inlineStr">
        <is>
          <t>BACKGROUND: Hearing loss is a major public health challenge. Audiology services need to utilise a range of rehabilitative services and maximise innovative practice afforded by technology to actively promote personalized, participatory, preventative and predictive care if they are to cope with the social and economic burden placed on the population by the rapidly rising prevalence of hearing loss. Digital interventions and teleaudiology could be a key part of providing high quality, cost-effective, patient-centred management. There is currently very limited evidence that assesses the hearing impaired patient perspective on the acceptance and usability of this type of technology. AIM: This study aims to identify patient perceptions of the use of a hearing support system including a mobile smartphone app when used with Bluetooth-connected hearing aids across the everyday life of users, as part of the EVOTION project. METHODS: We applied a questionnaire to 564 participants in three countries across Europe and analysed the following topics: connectivity, hearing aid controls, instructional videos, audiological tests and auditory training. KEY FINDINGS: Older users were just as satisfied as younger users when operating this type of technology. Technical problems such as Bluetooth connectivity need to be minimised as this issue is highly critical for user satisfaction, engagement and uptake. A system that promotes user-controllability of hearing aids that is more accessible and easier to use is highly valued. Participants are happy to utilise monitoring tests and auditory training on a mobile phone out of the clinic but in order to have value the test battery needs to be relevant and tailored to each user, easy to understand and use. Such functions can elicit a negative as well as positive experience for each user. CONCLUSION: Older and younger adults can utilise an eHealth mobile app to complement their rehabilitation and health care. If the technology works well, is tailored to the individual and in-depth personalised guidance and support is provided, it could assist maximisation of hearing aid uptake, promotion of self-management and improving outcomes.</t>
        </is>
      </c>
      <c r="K41" s="2" t="n"/>
      <c r="L41" s="2" t="n"/>
      <c r="M41" s="4" t="inlineStr">
        <is>
          <t>https://doi.org/10.3389/fpubh.2021.669727</t>
        </is>
      </c>
    </row>
    <row r="42" ht="240" customHeight="1">
      <c r="A42" s="2" t="n">
        <v>41</v>
      </c>
      <c r="B42" s="2" t="inlineStr">
        <is>
          <t>R0742</t>
        </is>
      </c>
      <c r="C42" s="3" t="n"/>
      <c r="D42" s="3" t="n"/>
      <c r="E42" s="3" t="n"/>
      <c r="F42" s="2" t="n">
        <v>2023</v>
      </c>
      <c r="G42" s="2" t="inlineStr">
        <is>
          <t>Journal Article; Systematic Review</t>
        </is>
      </c>
      <c r="H42" s="2" t="inlineStr">
        <is>
          <t>BMJ health &amp; care informatics</t>
        </is>
      </c>
      <c r="I42" s="2" t="inlineStr">
        <is>
          <t>Adoption of electronic health record systems to enhance the quality of healthcare in low-income countries: a systematic review.</t>
        </is>
      </c>
      <c r="J42" s="2" t="inlineStr">
        <is>
          <t>BACKGROUND: Electronic health record (EHR) systems are mentioned in several studies as tools for improving healthcare quality in developed and developing nations. However, there is a research gap in presenting the status of EHR adoption in low-income countries (LICs). Therefore, this study systematically reviews articles that discuss the adoption of EHR systems status, opportunities and challenges for improving healthcare quality in LICs. METHODS: We used Preferred Reporting Items for Systematic Reviews and Meta-Analyses in articles selected from PubMed, Science Direct, IEEE Xplore, citations and manual searches. We focused on peer-reviewed articles published from January 2017 to 30 September 2022, and those focusing on the status, challenges or opportunities of EHR adoption in LICs. However, we excluded articles that did not consider EHR in LICs, reviews or secondary representations of existing knowledge. Joanna Briggs Institute checklists were used to appraise the articles to minimise the risk of bias. RESULTS: We identified 12 studies for the review. The finding indicated EHR systems are not well implemented and are at a pilot stage in various LICs. The barriers to EHR adoption were poor infrastructure, lack of management commitment, standards, interoperability, support, experience and poor EHR systems. However, healthcare providers' perception, their goodwill to use EMR and the immaturity of health information exchange infrastructure are key facilitators for EHR adoption in LICs. CONCLUSION: Most LICs are adopting EHR systems, although it is at an early stage of implementation. EHR systems adoption is facilitated or influenced by people, environment, tools, tasks and the interaction among these factors.</t>
        </is>
      </c>
      <c r="K42" s="2" t="n"/>
      <c r="L42" s="2" t="n"/>
      <c r="M42" s="4" t="inlineStr">
        <is>
          <t>https://doi.org/10.1136/bmjhci-2022-100704</t>
        </is>
      </c>
    </row>
    <row r="43" ht="201" customHeight="1">
      <c r="A43" s="2" t="n">
        <v>42</v>
      </c>
      <c r="B43" s="2" t="inlineStr">
        <is>
          <t>R1573</t>
        </is>
      </c>
      <c r="C43" s="3" t="n"/>
      <c r="D43" s="3" t="n"/>
      <c r="E43" s="3" t="n"/>
      <c r="F43" s="2" t="n">
        <v>2015</v>
      </c>
      <c r="G43" s="2" t="inlineStr">
        <is>
          <t>Journal Article; Research Support, Non-U.S. Gov't</t>
        </is>
      </c>
      <c r="H43" s="2" t="inlineStr">
        <is>
          <t>American journal of preventive medicine</t>
        </is>
      </c>
      <c r="I43" s="2" t="inlineStr">
        <is>
          <t>Moving electronic medical records upstream: incorporating social determinants of health.</t>
        </is>
      </c>
      <c r="J43" s="2" t="inlineStr">
        <is>
          <t>BACKGROUND: Knowledge of the biological pathways and mechanisms connecting social factors with health has increased exponentially over the past 25 years, yet in most clinical settings, screening and intervention around social determinants of health are not part of standard clinical care. Electronic medical records provide new opportunities for assessing and managing social needs in clinical settings, particularly those serving vulnerable populations. PURPOSE: To illustrate the feasibility of capturing information and promoting interventions related to social determinants of health in electronic medical records. METHODS: Three case studies were examined in which electronic medical records have been used to collect data and address social determinants of health in clinical settings. RESULTS: From these case studies, we identified multiple functions that electronic medical records can perform to facilitate the integration of social determinants of health into clinical systems, including screening, triaging, referring, tracking, and data sharing. CONCLUSIONS: If barriers related to incentives, training, and privacy can be overcome, electronic medical record systems can improve the integration of social determinants of health into healthcare delivery systems. More evidence is needed to evaluate the impact of such integration on health care outcomes before widespread adoption can be recommended.</t>
        </is>
      </c>
      <c r="K43" s="2" t="n"/>
      <c r="L43" s="2" t="n"/>
      <c r="M43" s="4" t="inlineStr">
        <is>
          <t>https://doi.org/10.1016/j.amepre.2014.07.009</t>
        </is>
      </c>
    </row>
    <row r="44" ht="175" customHeight="1">
      <c r="A44" s="2" t="n">
        <v>43</v>
      </c>
      <c r="B44" s="2" t="inlineStr">
        <is>
          <t>R1300</t>
        </is>
      </c>
      <c r="C44" s="3" t="n"/>
      <c r="D44" s="3" t="n"/>
      <c r="E44" s="3" t="n"/>
      <c r="F44" s="2" t="n">
        <v>2017</v>
      </c>
      <c r="G44" s="2" t="inlineStr">
        <is>
          <t>Journal Article</t>
        </is>
      </c>
      <c r="H44" s="2" t="inlineStr">
        <is>
          <t>Journal of public health management and practice : JPHMP</t>
        </is>
      </c>
      <c r="I44" s="2" t="inlineStr">
        <is>
          <t>Barriers to Local Public Health Chronic Disease Surveillance Through Health Information Exchange: A Capacity Assessment of Health Departments in the Health Information Network of South Texas.</t>
        </is>
      </c>
      <c r="J44" s="2" t="inlineStr">
        <is>
          <t>Health information exchanges (HIEs) offer potential data sources for public health agencies to improve chronic disease surveillance; however, public health has not yet capitalized on these data. This study identified barriers that public health departments participating in the Health Information Network of South Texas face regarding HIE and community-level surveillance of chronic diseases. This study focused on 2 health departments participating in the Health Information Network of South Texas. We administered a survey to inventory the technology infrastructure of health departments and conducted semistructured interviews of the local, state, and national officials. We identified 3 barriers to using HIE for disease surveillance: insufficient skilled staff, variation in how laws are interpreted, and lack of a coordinated public health information technology strategy. We provide 4 recommendations for policy and practice: personnel capacity development, interorganizational informatics collaboration, interim approaches to clarifying the legality of bidirectional HIE until overarching legislation is enacted, and development of an enterprise architecture plan.</t>
        </is>
      </c>
      <c r="K44" s="2" t="n"/>
      <c r="L44" s="2" t="n"/>
      <c r="M44" s="4" t="inlineStr">
        <is>
          <t>https://doi.org/10.1097/PHH.0000000000000465</t>
        </is>
      </c>
    </row>
    <row r="45" ht="331" customHeight="1">
      <c r="A45" s="2" t="n">
        <v>44</v>
      </c>
      <c r="B45" s="2" t="inlineStr">
        <is>
          <t>R0507</t>
        </is>
      </c>
      <c r="C45" s="3" t="n"/>
      <c r="D45" s="3" t="n"/>
      <c r="E45" s="3" t="n"/>
      <c r="F45" s="2" t="n">
        <v>2023</v>
      </c>
      <c r="G45" s="2" t="inlineStr">
        <is>
          <t>Journal Article</t>
        </is>
      </c>
      <c r="H45" s="2" t="inlineStr">
        <is>
          <t>BMC health services research</t>
        </is>
      </c>
      <c r="I45" s="2" t="inlineStr">
        <is>
          <t>An iterative approach to developing a multifaceted implementation strategy for a complex eHealth intervention within clinical practice.</t>
        </is>
      </c>
      <c r="J45" s="2" t="inlineStr">
        <is>
          <t>BACKGROUND: The number of complex eHealth interventions has increased considerably. Despite available implementation theory outlining well-designed strategies, implementing complex interventions within practice proves challenging and often does not lead to sustainable use. To improve sustainability, theory and practice should be addressed during the development of an implementation strategy. By subsequently transparently reporting the executed theory-based steps and their corresponding practice findings, others can learn from these valuable lessons learned. This study outlines the iterative approach by which a multifaceted implementation strategy for a complex eHealth intervention in clinical practice was developed, tested and refined. METHODS: We implemented the BENEFIT program, an advanced eHealth platform with Personal Health Portal facilitating healthy living in cardiac patients. In six iterative phases alternating between theory and practice, the implementation strategy was developed, tested and refined. The initial implementation strategy (phase 1) was drawn up using the Implementation model and RE-AIM. Subsequently, this strategy was further updated in brainstorming sessions and group discussions with twenty key stakeholders from three cardiac care centres and then evaluated in a pilot (phases 2 and 3). RESULTS: The pilot of the program led to the identification of (context-specific) key challenges in practice (phase 4), which were subsequently connected back to broader theory (phase 5) using the Consolidated Framework of Implementation Research (CFIR). In the final phase, practice recommendations tackling the key challenges were formulated (phase 6) based on CFIR theory, the CFIR-ERIC Matching Tool, and stakeholders' input and feedback. These recommendations were then added to the refined strategy. Thus, executing this approach led to the realisation and use of a multifaceted theory-informed practice-based implementation strategy. CONCLUSION: This case study gives an in-depth description of an iterative approach to developing an evidence-based, practice-tailored strategy for implementing a complex eHealth intervention in cardiac care. As such, this study may serve as a blueprint for other researchers aspiring to implement complex eHealth interventions within clinical practice sustainably.</t>
        </is>
      </c>
      <c r="K45" s="2" t="n"/>
      <c r="L45" s="2" t="n"/>
      <c r="M45" s="4" t="inlineStr">
        <is>
          <t>https://doi.org/10.1186/s12913-023-10439-1</t>
        </is>
      </c>
    </row>
    <row r="46" ht="370" customHeight="1">
      <c r="A46" s="2" t="n">
        <v>45</v>
      </c>
      <c r="B46" s="2" t="inlineStr">
        <is>
          <t>R0794</t>
        </is>
      </c>
      <c r="C46" s="3" t="n"/>
      <c r="D46" s="3" t="n"/>
      <c r="E46" s="3" t="n"/>
      <c r="F46" s="2" t="n">
        <v>2026</v>
      </c>
      <c r="G46" s="2" t="inlineStr">
        <is>
          <t>Journal Article</t>
        </is>
      </c>
      <c r="H46" s="2" t="inlineStr">
        <is>
          <t>Journal of medical Internet research</t>
        </is>
      </c>
      <c r="I46" s="2" t="inlineStr">
        <is>
          <t>Exploring the Dynamics of Actors, Structural Factors, and Bricolage in the Implementation and Sustainability of eHealth Solutions: Qualitative Multiple-Case Study.</t>
        </is>
      </c>
      <c r="J46" s="2" t="inlineStr">
        <is>
          <t>BACKGROUND: European health care systems face mounting pressures from an aging population, workforce shortages, and decentralization, challenging the delivery of accessible, high-quality care. eHealth solutions are widely promoted to enhance efficiency and improve the quality of care. Despite a strong policy report, anticipated benefits remain unrealized, as implementation processes often encounter barriers and high failure rates. Research shows that drivers and barriers are dynamic and shaped by actor interactions. Some studies suggest that certain actors, often acting as bricoleurs, play a critical role in overcoming these barriers through adaptive and improvised practices. However, little is known about how these actors enact roles, what features enable bricolage, and how structural conditions influence these practices. OBJECTIVE: The aim of this study is twofold. First, it investigates the roles and features of actors involved in innovation processes, with a particular emphasis on the application of bricolage to overcome barriers and the influence of structural factors on these processes. Second, it aims to contribute both theoretical and empirical insights to deepen the understanding of barrier dynamics within innovation processes. METHODS: We conducted a multiple-case study comprising 10 semistructured interviews, 11 focus groups with health care professionals, managers, trainers, and policymakers, participant observations of training sessions, and document analysis. An iterative process integrated the dramaturgical approach with the concept of bricolage, guiding the reflexive thematic analyses. RESULTS: Roles were enacted based on available information, context, and assigned functions. Service specialists (eg, superusers) and mediators (eg, unit or project managers) gained backstage insights through shadowing staff, evaluations, and support activities. When mandated and equipped with contextual and technical knowledge, these actors became bricoleurs, addressing unforeseen challenges by creatively mobilizing resources and thereby transforming barriers into promoters. Effective bricolage required proximity to the implementation site, dedicated involvement, and experiential knowledge of health care and technical domains. Key drivers included colocation, supportive management, stable teams, superusers, tailored training, follow-up activities, and informal evaluations. Barriers such as organizational silos, leadership shifts, staffing shortages, high turnover, geographic dispersion, and technology perceived as challenging or surveillance-oriented constrained bricolage and hindered implementation. [continues in next column]</t>
        </is>
      </c>
      <c r="K46" s="2" t="inlineStr">
        <is>
          <t>CONCLUSIONS: Actors may become bricoleurs when their assigned roles, contextual knowledge, and backstage access enable them to improvise in response to unforeseen challenges. Through a dramaturgical lens, bricolage is an adaptive performance that sustains frontstage care delivery. Bricoleurs combine proximity, experiential knowledge, and dual expertise to transform barriers into drivers by adjusting the innovation process and fostering interaction. These practices illustrate the mutual shaping of structure and agency: enabling conditions expand the space for bricolage, while barriers narrow it. Understanding this dynamic is essential for advancing theory on innovation processes and for designing implementation strategies that leverage bricolage as a mechanism for transforming barriers into drivers of innovation.</t>
        </is>
      </c>
      <c r="L46" s="2" t="n"/>
      <c r="M46" s="4" t="inlineStr">
        <is>
          <t>https://doi.org/10.2196/79999</t>
        </is>
      </c>
    </row>
    <row r="47" ht="357" customHeight="1">
      <c r="A47" s="2" t="n">
        <v>46</v>
      </c>
      <c r="B47" s="2" t="inlineStr">
        <is>
          <t>R1181</t>
        </is>
      </c>
      <c r="C47" s="3" t="n"/>
      <c r="D47" s="3" t="n"/>
      <c r="E47" s="3" t="n"/>
      <c r="F47" s="2" t="n">
        <v>2023</v>
      </c>
      <c r="G47" s="2" t="inlineStr">
        <is>
          <t>Journal Article; Observational Study</t>
        </is>
      </c>
      <c r="H47" s="2" t="inlineStr">
        <is>
          <t>JMIR medical informatics</t>
        </is>
      </c>
      <c r="I47" s="2" t="inlineStr">
        <is>
          <t>Successes and Barriers of Health Information Exchange Participation Across Hospitals in South Carolina From 2014 to 2020: Longitudinal Observational Study.</t>
        </is>
      </c>
      <c r="J47" s="2" t="inlineStr">
        <is>
          <t>BACKGROUND: The 2009 Health Information Technology for Economic and Clinical Health Act sets three stages of Meaningful Use requirements for the electronic health records incentive program. Health information exchange (HIE) technologies are critical in the meaningful use of electronic health records to support patient care coordination. However, HIE use trends and barriers remain unclear across hospitals in South Carolina (SC), a state with the earliest HIE implementation. OBJECTIVE: This study aims to explore changes in the proportion of HIE participation and factors associated with HIE participation, and barriers to exchange and interoperability across SC hospitals. METHODS: This study derived data from a longitudinal data set of the 2014-2020 American Hospital Association Information Technology Supplement for 69 SC hospitals. The primary outcome was whether a hospital participated in HIE in a year. A cross-sectional multivariable logistic regression model, clustered at the hospital level and weighted by bed size, was used to identify factors associated with HIE participation. The second outcome was barriers to sending, receiving, or finding patient health information to or from other organizations or hospital systems. The frequency of hospitals reporting each barrier related to exchange and interoperability were then calculated. RESULTS: Hospitals in SC have been increasingly participating in HIE, improving from 43% (24/56) in 2014 to 82% (54/66) in 2020. After controlling for other hospital factors, teaching hospitals (adjusted odds ratio [AOR] 3.7, 95% CI 1.0-13.3), system-affiliated hospitals (AOR 6.6, 95% CI 3.2-13.7), and rural referral hospitals (AOR 8.0, 95% CI 1.2-53.4) had higher odds to participate in HIE than their counterparts, whereas critical access hospitals (AOR 0.1, 95% CI 0.02-0.6) were less likely to participate in HIE than their counterparts reimbursed by the prospective payment system. Hospitals with greater ratios of Medicare or Medicaid inpatient days to total inpatient days also reported higher odds of HIE participation. Despite the majority of hospitals reporting HIE participation in 2020, barriers to exchange and interoperability remained, including lack of provider contacts (27/40, 68%), difficulty in finding patient health information (27/40, 68%), adapting different vendor platforms (26/40, 65%), difficulty matching or identifying same patients between systems (23/40, 58%), and providers that do not typically exchange patient data (23/40, 58%). CONCLUSIONS: HIE participation has been widely adopted in SC hospitals. [continues in next column]</t>
        </is>
      </c>
      <c r="K47" s="2" t="inlineStr">
        <is>
          <t>Our findings highlight the need to incentivize optimization of HIE and seamless information exchange by facilitating and implementing standardization of health information across various HIE systems and by addressing other technical issues, including providing providers' addresses and training HIE stakeholders to find relevant information. Policies and efforts should include more collaboration with vendors to reduce platform compatibility issues and more user engagement and technical training and support to facilitate effective, accurate, and efficient exchange of provider contacts and patient health information.</t>
        </is>
      </c>
      <c r="L47" s="2" t="n"/>
      <c r="M47" s="4" t="inlineStr">
        <is>
          <t>https://doi.org/10.2196/40959</t>
        </is>
      </c>
    </row>
    <row r="48" ht="292" customHeight="1">
      <c r="A48" s="2" t="n">
        <v>47</v>
      </c>
      <c r="B48" s="2" t="inlineStr">
        <is>
          <t>R0100</t>
        </is>
      </c>
      <c r="C48" s="3" t="n"/>
      <c r="D48" s="3" t="n"/>
      <c r="E48" s="3" t="n"/>
      <c r="F48" s="2" t="n">
        <v>2026</v>
      </c>
      <c r="G48" s="2" t="inlineStr">
        <is>
          <t>Journal Article; Scoping Review</t>
        </is>
      </c>
      <c r="H48" s="2" t="inlineStr">
        <is>
          <t>International journal of medical informatics</t>
        </is>
      </c>
      <c r="I48" s="2" t="inlineStr">
        <is>
          <t>Implementation of digital health interventions in thyroid cancer care: A scoping review.</t>
        </is>
      </c>
      <c r="J48" s="2" t="inlineStr">
        <is>
          <t>BACKGROUND: Thyroid cancer is one of the fastest-growing malignancies worldwide, with an increasing number of long-term survivors requiring ongoing care. Digital health interventions offer scalable and patient-centered approaches to support this population, yet it remains unclear how these interventions have been designed, delivered, evaluated, and adopted in practice. This scoping review aims to synthesize current evidence on the characteristics, effectiveness, and uptake of digital health interventions in thyroid cancer care. METHODS: A systematic search was performed in PubMed, Web of Science, Embase, CINAHL, CENTRAL, PsycINFO, China National Knowledge Infrastructure (CNKI), Wanfang, and the Chinese Biomedical Literature Database (CBM) from inception to April 6, 2025. Reference lists of included articles were also screened manually. Information on study characteristics, participant details, intervention types and settings, outcomes, and reported barriers and facilitators was extracted. RESULTS: A total of 23 studies were included, most of which were conducted since 2018 and focused on postoperative patients. Interventions primarily targeted follow-up care, postoperative rehabilitation, and psychological support, using technologies such as smartphone apps, AI-driven systems, and telehealth. Preliminary evidence suggests improvement in quality of life, psychological well-being, and treatment-related adherence. However, few studies evaluated implementation outcomes or addressed barriers like digital literacy and privacy concerns. Theoretical frameworks and stakeholder co-design were rarely used. CONCLUSIONS: Digital health interventions in thyroid cancer care show promise but remain underutilized in clinical practice. Future research should enhance uptake and implementation by expanding target populations, integrating emerging technologies, and adopting more rigorous and grounded approaches. Addressing these gaps may guide continued innovation and support broader integration of digital health interventions in this population.</t>
        </is>
      </c>
      <c r="K48" s="2" t="n"/>
      <c r="L48" s="2" t="n"/>
      <c r="M48" s="4" t="inlineStr">
        <is>
          <t>https://doi.org/10.1016/j.ijmedinf.2025.106221</t>
        </is>
      </c>
    </row>
    <row r="49" ht="370" customHeight="1">
      <c r="A49" s="2" t="n">
        <v>48</v>
      </c>
      <c r="B49" s="2" t="inlineStr">
        <is>
          <t>R0152</t>
        </is>
      </c>
      <c r="C49" s="3" t="n"/>
      <c r="D49" s="3" t="n"/>
      <c r="E49" s="3" t="n"/>
      <c r="F49" s="2" t="n">
        <v>2025</v>
      </c>
      <c r="G49" s="2" t="inlineStr">
        <is>
          <t>Journal Article</t>
        </is>
      </c>
      <c r="H49" s="2" t="inlineStr">
        <is>
          <t>Journal of medical Internet research</t>
        </is>
      </c>
      <c r="I49" s="2" t="inlineStr">
        <is>
          <t>Digital Health Technology Adoption Among Chinese Physicians: Latent Profile Analysis and Cross-Sectional Study.</t>
        </is>
      </c>
      <c r="J49" s="2" t="inlineStr">
        <is>
          <t>BACKGROUND: Digital health technologies (DHTs) are transforming global health care delivery, yet physician adoption remains highly variable and influenced by a complex interplay of individual, institutional, and technological factors. In China, despite national initiatives such as the "Healthy China 2030" strategy promoting DHT integration, understanding physicians' heterogeneous perceptions is essential for effective implementation. OBJECTIVE: This study aimed to identify distinct latent profiles of Chinese physicians based on their perceptions of DHT benefits, barriers, and behavioral intention, and to examine the demographic and occupational factors associated with profile membership. METHODS: A cross-sectional survey was conducted among 4851 physicians (female, n=2994, 60.69% ; mean age 38.4, SD 8.7 years; 51.58% (n=2502) with more than 10 y working experience) from 46 hospitals in Shaanxi Province, China, between October and December 2023. Assessment included nine indicators across three domains: Perceived Benefits (4 items), Adoption Barriers (4 items), and Behavioral Intention (1 item). Latent profile analysis was used to identify distinct subgroups of physicians based on their response patterns. Multinomial logistic regression examined predictors of profile membership, and results were reported as odds ratios (ORs) with 95% CIs. RESULTS: The latent profile analysis identified 5 distinct profiles: Reform-Adaptable (n=516, 10.64%; 95% CI 9.76%-11.52%), Negative (n=1003, 20.68%; 95% CI 19.50%-21.86%), Neutral (n=2276, 46.92%; 95% CI 45.50%-48.34%), Reform-Conservative (n=545, 11.23%; 95% CI 10.33%-12.13%), and Positive (n=511, 10.53%; 95% CI 9.66%-11.40%). Significant intergroup differences were observed in demographic and occupational characteristics. For instance, compared with the Negative profile, male physicians were less likely to belong to the Neutral (OR 0.76, 95% CI 0.64-0.90; P=.001) and Reform-Conservative (OR 0.67, 95% CI 0.54-0.84; P=.001) profiles. Compared to the Neutral profile, physicians with a master's degree or above were less likely to be in the Reform-Conservative profile (OR 0.75, 95% CI 0.59-0.96; P=.052). Those working in tertiary hospitals were less likely to belong to the Positive group (OR range 0.56-0.66, P=.001). High-income physicians were more likely to be in the Reform-Conservative group (OR range 1.83-2.38, P=.001). In addition, higher occupational stress was associated with a greater likelihood of Positive profile membership (OR range 1.12-1.26, P=.001), while better work satisfaction predicted higher odds of Positive profile membership (OR range 1.04-1.16, P=.001). [continues in next column]</t>
        </is>
      </c>
      <c r="K49" s="2" t="inlineStr">
        <is>
          <t>CONCLUSIONS: This study introduces a novel, person-centered approach by identifying five distinct perceptual typologies among physicians, moving beyond traditional variable-centered analyses. This typology provides an evidence-based foundation for tailored interventions. For instance, the Reform-Adaptable group may need barrier reduction, while the Reform-Conservative group may require clearer value demonstrations. This nuanced understanding can help healthcare systems enhance the impact and scalability of digital health technologies in real-world clinical practice.</t>
        </is>
      </c>
      <c r="L49" s="2" t="n"/>
      <c r="M49" s="4" t="inlineStr">
        <is>
          <t>https://doi.org/10.2196/77840</t>
        </is>
      </c>
    </row>
    <row r="50" ht="214" customHeight="1">
      <c r="A50" s="2" t="n">
        <v>49</v>
      </c>
      <c r="B50" s="2" t="inlineStr">
        <is>
          <t>R0249</t>
        </is>
      </c>
      <c r="C50" s="3" t="n"/>
      <c r="D50" s="3" t="n"/>
      <c r="E50" s="3" t="n"/>
      <c r="F50" s="2" t="n">
        <v>2021</v>
      </c>
      <c r="G50" s="2" t="inlineStr">
        <is>
          <t>Journal Article</t>
        </is>
      </c>
      <c r="H50" s="2" t="inlineStr">
        <is>
          <t>International health</t>
        </is>
      </c>
      <c r="I50" s="2" t="inlineStr">
        <is>
          <t>Factors affecting the adoption of e-health system in the Kingdom of Saudi Arabia.</t>
        </is>
      </c>
      <c r="J50" s="2" t="inlineStr">
        <is>
          <t>BACKGROUND: The Saudi government is trying to implement the e-health system throughout Saudi Arabia to promote accessible health services for its population. However, adoption of the e-health system has not been effective. Thus the objective of this study was to investigate the factors that influence the adoption of e-health in this country. METHODS: To carry out this research, a questionnaire was designed to obtain information on how people in Saudi Arabia use the e-health system and the problems they face when using this technology. The questionnaire was initially viewed by 438 people and 130 of them answered the survey. RESULTS: The results of this research on the adoption of the e-health system in Saudi Arabia indicated that the main factors preventing the implementation of this system were mainly related to the lack of a relationship between doctors and patients, fears about the possibility of violating data privacy and a lack of government regulations. In addition, there are certain demographic factors such as age, gender, residence, income, education and culture that create obstacles in the adoption of the e-health system. CONCLUSIONS: This study suggests that professionals should contribute to modifying the e-health system and adding more government regulatory bodies to increase adoption. This will encourage end-users to trust the system. By modifying existing strategies, the results of this study can contribute to the successful implementation of the e-health system in Saudi Arabia.</t>
        </is>
      </c>
      <c r="K50" s="2" t="n"/>
      <c r="L50" s="2" t="n"/>
      <c r="M50" s="4" t="inlineStr">
        <is>
          <t>https://doi.org/10.1093/inthealth/ihaa091</t>
        </is>
      </c>
    </row>
    <row r="51" ht="370" customHeight="1">
      <c r="A51" s="2" t="n">
        <v>50</v>
      </c>
      <c r="B51" s="2" t="inlineStr">
        <is>
          <t>R1211</t>
        </is>
      </c>
      <c r="C51" s="3" t="n"/>
      <c r="D51" s="3" t="n"/>
      <c r="E51" s="3" t="n"/>
      <c r="F51" s="2" t="n">
        <v>2020</v>
      </c>
      <c r="G51" s="2" t="inlineStr">
        <is>
          <t>Journal Article</t>
        </is>
      </c>
      <c r="H51" s="2" t="inlineStr">
        <is>
          <t>JMIR public health and surveillance</t>
        </is>
      </c>
      <c r="I51" s="2" t="inlineStr">
        <is>
          <t>Barriers to Creating Scalable Business Models for Digital Health Innovation in Public Systems: Qualitative Case Study.</t>
        </is>
      </c>
      <c r="J51" s="2" t="inlineStr">
        <is>
          <t>BACKGROUND: Health systems are increasingly looking toward the private sector to provide digital solutions to address health care demands. Innovation in digital health is largely driven by small- and medium-sized enterprises (SMEs), yet these companies experience significant barriers to entry, especially in public health systems. Complex and fragmented care models, alongside a myriad of relevant stakeholders (eg, purchasers, providers, and producers of health care products), make developing value propositions for digital solutions highly challenging. OBJECTIVE: This study aims to identify areas for health system improvement to promote the integration of innovative digital health technologies developed by SMEs. METHODS: This paper qualitatively analyzes a series of case studies to identify health system barriers faced by SMEs developing digital health technologies in Canada and proposed solutions to encourage a more innovative ecosystem. The Women's College Hospital Institute for Health System Solutions and Virtual Care established a consultation program for SMEs to help them increase their innovation capacity and take their ideas to market. The consultation involved the SME filling out an onboarding form and review of this information by an expert advisory committee using guided considerations, leading to a recommendation report provided to the SME. This paper reports on the characteristics of 25 SMEs who completed the program and qualitatively analyzed their recommendation reports to identify common barriers to digital health innovation. RESULTS: A total of 2 central themes were identified, each with 3 subthemes. First, a common barrier to system integration was the lack of formal evaluation, with SMEs having limited resources and opportunities to conduct such an evaluation. Second, the health system's current structure does not create incentives for clinicians to use digital technologies, which threatens the sustainability of SMEs' business models. SMEs faced significant challenges in engaging users and payers from the public system due to perverse economic incentives. Physicians are compensated by in-person visits, which actively works against the goals of many digital health solutions of keeping patients out of clinics and hospitals. CONCLUSIONS: There is a significant disconnect between the economic incentives that drive clinical behaviors and the use of digital technologies that would benefit patients' well-being. To encourage the use of digital health technologies, publicly funded health systems need to dedicate funding for the evaluation of digital solutions and streamlined pathways for clinical integration.</t>
        </is>
      </c>
      <c r="K51" s="2" t="n"/>
      <c r="L51" s="2" t="n"/>
      <c r="M51" s="4" t="inlineStr">
        <is>
          <t>https://doi.org/10.2196/20579</t>
        </is>
      </c>
    </row>
    <row r="52" ht="71" customHeight="1">
      <c r="A52" s="2" t="n">
        <v>51</v>
      </c>
      <c r="B52" s="2" t="inlineStr">
        <is>
          <t>R0284</t>
        </is>
      </c>
      <c r="C52" s="3" t="n"/>
      <c r="D52" s="3" t="n"/>
      <c r="E52" s="3" t="n"/>
      <c r="F52" s="2" t="n">
        <v>2025</v>
      </c>
      <c r="G52" s="2" t="inlineStr">
        <is>
          <t>Journal Article</t>
        </is>
      </c>
      <c r="H52" s="2" t="inlineStr">
        <is>
          <t>Studies in health technology and informatics</t>
        </is>
      </c>
      <c r="I52" s="2" t="inlineStr">
        <is>
          <t>EHR-Based CDS Tools Supporting Long-Term Implementation of Pharmacogenomics.</t>
        </is>
      </c>
      <c r="J52" s="2" t="inlineStr">
        <is>
          <t>Pharmacogenomics (PGx) has the potential to improve prescribing practices. In 2012, our institution developed a multidisciplinary program to implement PGx-CDS to support the clinical practice. CDS has been implemented for 45 drug-gene interactions, in 42,000 patients with PGx tests results, and in 2023, approximately 9281 CDS interventions have triggered at the time of prescribing. The program has been successful.</t>
        </is>
      </c>
      <c r="K52" s="2" t="n"/>
      <c r="L52" s="2" t="n"/>
      <c r="M52" s="4" t="inlineStr">
        <is>
          <t>https://doi.org/10.3233/SHTI251118</t>
        </is>
      </c>
    </row>
    <row r="53" ht="253" customHeight="1">
      <c r="A53" s="2" t="n">
        <v>52</v>
      </c>
      <c r="B53" s="2" t="inlineStr">
        <is>
          <t>R1105</t>
        </is>
      </c>
      <c r="C53" s="3" t="n"/>
      <c r="D53" s="3" t="n"/>
      <c r="E53" s="3" t="n"/>
      <c r="F53" s="2" t="n">
        <v>2025</v>
      </c>
      <c r="G53" s="2" t="inlineStr">
        <is>
          <t>Journal Article</t>
        </is>
      </c>
      <c r="H53" s="2" t="inlineStr">
        <is>
          <t>Psychological services</t>
        </is>
      </c>
      <c r="I53" s="2" t="inlineStr">
        <is>
          <t>Clinic-wide depression screening in the waiting room using electronic health record integrated patient health questionnaire surveys: Implementation science outcomes for reach, inequitable reach and perceptions of barriers.</t>
        </is>
      </c>
      <c r="J53" s="2" t="inlineStr">
        <is>
          <t>Detecting depression in primary care patients is suboptimal, especially among historically excluded populations. To improve depression screening rates, a primary care clinic integrated the Patient Health Questionnaire (PHQ) in the Electronic Health Record (EHR) and clinical workflow. Patients completed the PHQ on a tablet in the waiting room, and responses were available in real time for staff to review with patients. This study examined implementation science outcomes using the Reach, Effectiveness, Adoption, Implementation, and Maintenance framework 3.0. First, we calculated the percentage of patients who completed a PHQ ("Reach"). Second, we examined "Inequitable Reach" by determining if demographic characteristics were associated with the probability of not completing a PHQ. Third, we conducted 13 interviews with care team members (three physicians, five staff) and the health system's implementation team (two practice coaches, three EHR analysts) to identify barriers to Reach. Of the 8,765 patients seen in the clinic between November 2019 through September 2021, Reach was satisfactory at 71% (6,261/8,765 completed a PHQ) but inequitable because patients who did not complete PHQ screening (n = 2,502, 29%) had higher odds of being age 65+ (OR = 1.40), Black (OR = 1.37), or had Medicaid or no insurance (OR = 1.90; all p &lt; .001). In interviews, barriers to Reach included inefficient EHR workflow, time constraints to help patients use the tablet and check if a PHQ was completed, and lack of clarity on how to talk with patients about PHQ responses. Our findings provide a roadmap for health systems to examine whether they have Inequitable Reach in depression screening. (PsycInfo Database Record (c) 2025 APA, all rights reserved).</t>
        </is>
      </c>
      <c r="K53" s="2" t="n"/>
      <c r="L53" s="2" t="n"/>
      <c r="M53" s="4" t="inlineStr">
        <is>
          <t>https://doi.org/10.1037/ser0000937</t>
        </is>
      </c>
    </row>
    <row r="54" ht="175" customHeight="1">
      <c r="A54" s="2" t="n">
        <v>53</v>
      </c>
      <c r="B54" s="2" t="inlineStr">
        <is>
          <t>R1607</t>
        </is>
      </c>
      <c r="C54" s="3" t="n"/>
      <c r="D54" s="3" t="n"/>
      <c r="E54" s="3" t="n"/>
      <c r="F54" s="2" t="n">
        <v>2025</v>
      </c>
      <c r="G54" s="2" t="inlineStr">
        <is>
          <t>IEEE Conferences</t>
        </is>
      </c>
      <c r="H54" s="2" t="inlineStr">
        <is>
          <t>2025 International Conference on Information Management and Technology (ICIMTech)</t>
        </is>
      </c>
      <c r="I54" s="2" t="inlineStr">
        <is>
          <t>Towards Federated Health Information Exchange Architecture in Indonesia: Design and Implementation</t>
        </is>
      </c>
      <c r="J54" s="2" t="inlineStr">
        <is>
          <t>Indonesia continues to face challenges in health data fragmentation and disconnected systems, limiting timely clinical decisions and continuity of care. Although the SATUSEHAT platform adopts HL7 FHIR to promote interoperability, real-time, bidirectional data exchange remains limited due to incomplete electronic health record (EHR) integration. This paper presents a Design Science Research (DSR) case study to develop and evaluate a federated Health Information Exchange (HIE) architecture enabling real-time data sharing across EHRs, regional HIEs, and the national platform. Piloted in Jakarta and East Java, the solution reflects a scalable, standards-based model aligned with national priorities. The study begins with a literature review and case analysis of HIE implementations in diverse settings to extract key architectural and governance strategies. The proposed architecture spans point-of-service, regional, and national levels and includes registry services, business services, and interoperability layers. Design activities involve iterative modeling, prototyping, and scenario-based testing in a controlled environment. The resulting artifact offers a replicable model for HIE advancement in low- and middle-income countries.</t>
        </is>
      </c>
      <c r="K54" s="2" t="n"/>
      <c r="L54" s="2" t="n"/>
      <c r="M54" s="4" t="inlineStr">
        <is>
          <t>https://doi.org/10.1109/ICIMTech67074.2025.11264924</t>
        </is>
      </c>
    </row>
    <row r="55" ht="292" customHeight="1">
      <c r="A55" s="2" t="n">
        <v>54</v>
      </c>
      <c r="B55" s="2" t="inlineStr">
        <is>
          <t>R0687</t>
        </is>
      </c>
      <c r="C55" s="3" t="n"/>
      <c r="D55" s="3" t="n"/>
      <c r="E55" s="3" t="n"/>
      <c r="F55" s="2" t="n">
        <v>2020</v>
      </c>
      <c r="G55" s="2" t="inlineStr">
        <is>
          <t>Journal Article; Research Support, Non-U.S. Gov't</t>
        </is>
      </c>
      <c r="H55" s="2" t="inlineStr">
        <is>
          <t>Journal of medical Internet research</t>
        </is>
      </c>
      <c r="I55" s="2" t="inlineStr">
        <is>
          <t>Clinical Genomic Sequencing Reports in Electronic Health Record Systems Based on International Standards: Implementation Study.</t>
        </is>
      </c>
      <c r="J55" s="2" t="inlineStr">
        <is>
          <t>BACKGROUND: To implement standardized machine-processable clinical sequencing reports in an electronic health record (EHR) system, the International Organization for Standardization Technical Specification (ISO/TS) 20428 international standard was proposed for a structured template. However, there are no standard implementation guidelines for data items from the proposed standard at the clinical site and no guidelines or references for implementing gene sequencing data results for clinical use. This is a significant challenge for implementation and application of these standards at individual sites. OBJECTIVE: This study examines the field utilization of genetic test reports by designing the Health Level 7 (HL7) Fast Healthcare Interoperability Resources (FHIR) for genomic data elements based on the ISO/TS 20428 standard published as the standard for genomic test reports. The goal of this pilot is to facilitate the reporting and viewing of genomic data for clinical applications. FHIR Genomics resources predominantly focus on transmitting or representing sequencing data, which is of less clinical value. METHODS: In this study, we describe the practical implementation of ISO/TS 20428 using HL7 FHIR Genomics implementation guidance to efficiently deliver the required genomic sequencing results to clinicians through an EHR system. RESULTS: We successfully administered a structured genomic sequencing report in a tertiary hospital in Korea based on international standards. In total, 90 FHIR resources were used. Among 41 resources for the required fields, 26 were reused and 15 were extended. For the optional fields, 28 were reused and 21 were extended. CONCLUSIONS: To share and apply genomic sequencing data in both clinical practice and translational research, it is essential to identify the applicability of the standard-based information system in a practical setting. This prototyping work shows that reporting data from clinical genomics sequencing can be effectively implemented into an EHR system using the existing ISO/TS 20428 standard and FHIR resources.</t>
        </is>
      </c>
      <c r="K55" s="2" t="n"/>
      <c r="L55" s="2" t="n"/>
      <c r="M55" s="4" t="inlineStr">
        <is>
          <t>https://doi.org/10.2196/15040</t>
        </is>
      </c>
    </row>
    <row r="56" ht="97" customHeight="1">
      <c r="A56" s="2" t="n">
        <v>55</v>
      </c>
      <c r="B56" s="2" t="inlineStr">
        <is>
          <t>R0993</t>
        </is>
      </c>
      <c r="C56" s="3" t="n"/>
      <c r="D56" s="3" t="n"/>
      <c r="E56" s="3" t="n"/>
      <c r="F56" s="2" t="n">
        <v>2026</v>
      </c>
      <c r="G56" s="2" t="inlineStr">
        <is>
          <t>Journal Article</t>
        </is>
      </c>
      <c r="H56" s="2" t="inlineStr">
        <is>
          <t>Antimicrobial stewardship &amp; healthcare epidemiology : ASHE</t>
        </is>
      </c>
      <c r="I56" s="2" t="inlineStr">
        <is>
          <t>Implementation of an interruptive electronic health record alert improves optimal antibiotic prescribing in ambulatory patients with acute bacterial sinusitis: a quasi-experiment.</t>
        </is>
      </c>
      <c r="J56" s="2" t="inlineStr">
        <is>
          <t>Sinusitis is a leading cause for outpatient antibiotics. An interruptive electronic health record alert was implemented to promote optimal antibiotic selection and duration for acute bacterial sinusitis when suboptimal treatment is ordered. After implementation, optimal antibiotic prescribing significantly increased 7% preintervention versus 30% postintervention, (unadjOR, 5.69; 95% CI, 2.36 - 13.72; P &lt; .001).</t>
        </is>
      </c>
      <c r="K56" s="2" t="n"/>
      <c r="L56" s="2" t="n"/>
      <c r="M56" s="4" t="inlineStr">
        <is>
          <t>https://doi.org/10.1017/ash.2025.10283</t>
        </is>
      </c>
    </row>
    <row r="57" ht="201" customHeight="1">
      <c r="A57" s="2" t="n">
        <v>56</v>
      </c>
      <c r="B57" s="2" t="inlineStr">
        <is>
          <t>R0200</t>
        </is>
      </c>
      <c r="C57" s="3" t="n"/>
      <c r="D57" s="3" t="n"/>
      <c r="E57" s="3" t="n"/>
      <c r="F57" s="2" t="n">
        <v>2017</v>
      </c>
      <c r="G57" s="2" t="inlineStr">
        <is>
          <t>Journal Article</t>
        </is>
      </c>
      <c r="H57" s="2" t="inlineStr">
        <is>
          <t>Health services research</t>
        </is>
      </c>
      <c r="I57" s="2" t="inlineStr">
        <is>
          <t>The Association of Electronic Health Record Adoption with Staffing Mix in Community Health Centers.</t>
        </is>
      </c>
      <c r="J57" s="2" t="inlineStr">
        <is>
          <t>OBJECTIVE: To assess how medical staffing mix changed over time in association with the adoption of electronic health records (EHRs) in community health centers (CHCs). STUDY SETTING: Community health centers within the 50 states and Washington, DC. STUDY DESIGN: Estimated how the change in the share of total medical staff full-time equivalents (FTE) by provider category between 2007 and 2013 was associated with EHR adoption using fractional multinomial logit. DATA COLLECTION: 2007-2013 Uniform Data System, an administrative data set of Section 330 federal grant recipients; and Readiness for Meaningful Use and HIT and Patient Centered Medical Home Recognition Survey responses collected from Section 330 recipients between December 2010 and February 2011. PRINCIPAL FINDINGS: Having an EHR system did significantly shift the share of workers over time between physicians and each of the other categories of health care workers. While an EHR system significantly shifted the share of physician and other medical staff, this effect did not significantly vary over time. CHCs with EHRs by the end of the study period had a relatively greater proportion of other medical staff compared to the proportion of physicians. CONCLUSIONS: Electronic health records appeared to influence staffing allocation in CHCs such that other medical staff may be used to support adoption of EHRs as well as be leveraged as an important care provider.</t>
        </is>
      </c>
      <c r="K57" s="2" t="n"/>
      <c r="L57" s="2" t="n"/>
      <c r="M57" s="4" t="inlineStr">
        <is>
          <t>https://doi.org/10.1111/1475-6773.12648</t>
        </is>
      </c>
    </row>
    <row r="58" ht="370" customHeight="1">
      <c r="A58" s="2" t="n">
        <v>57</v>
      </c>
      <c r="B58" s="2" t="inlineStr">
        <is>
          <t>R0823</t>
        </is>
      </c>
      <c r="C58" s="3" t="n"/>
      <c r="D58" s="3" t="n"/>
      <c r="E58" s="3" t="n"/>
      <c r="F58" s="2" t="n">
        <v>2025</v>
      </c>
      <c r="G58" s="2" t="inlineStr">
        <is>
          <t>Journal Article; Systematic Review</t>
        </is>
      </c>
      <c r="H58" s="2" t="inlineStr">
        <is>
          <t>Health and social care delivery research</t>
        </is>
      </c>
      <c r="I58" s="2" t="inlineStr">
        <is>
          <t>Development and implementation of a digital health intervention in routine care for long COVID patients: a comprehensive synopsis.</t>
        </is>
      </c>
      <c r="J58" s="2" t="inlineStr">
        <is>
          <t>BACKGROUND: By July 2020, large numbers of post-COVID patients were experiencing symptoms for weeks or months, but traditional National Health Service models of rehabilitation service delivery could not meet demand. OBJECTIVES: Design and deploy a digital health intervention to provide digitally delivered, remotely supported rehabilitation to long COVID patients on complicated and evolving pathways. METHODS: The multidisciplinary team combined established research methods based on engineering and computer science (considering safety, stability and user requirements) with those based on biomedical and health service research (considering effectiveness and population impact). Qualitative data comprised recordings of meetings between study team members and clinicians and semistructured interviews with clinician and patient users. Quantitative data comprised referral, registration and usage rates; demographic and clinical characteristics of patients; and patient-reported outcome measures. RESULTS: We created a modifiable digital health intervention, 'Living With COVID Recovery(TM) developed by Living With Ltd', London, UK, that continues to be used by National Health Service trusts. The digital health intervention included integration into a clinical pathway, a clinician-facing dashboard, two-way messaging and a patient-facing app with information and evidence-based treatments. We aimed to register 1000 users. By study completion on 20 December 2022, there were 9781 patients invited, of whom 7679 (78.5%) had registered, at 33 National Health Service clinics. LIMITATIONS: Data came from patients at long COVID clinics, however data were unlikely to be representative of people with long COVID. We could not observe clinics under lockdown and had limited access to patient digital health intervention users or to people not engaging with the digital health intervention. Patient user data were incomplete, with inconsistent patient-reported outcome measure and other questionnaire data completion and no data on initial severity of disease, vaccination status, comorbidities or other individual circumstances. CONCLUSIONS: Long COVID can be extremely debilitating, comparable to stage IV lung cancer in relation to fatigue and health-related quality of life. Care and rehabilitation should address the management of fatigue and reflect the impact of social disadvantage on symptom severity. With sufficient resources, a digital health intervention can be developed quickly and effectively using agile methodology and bringing together a genuinely multidisciplinary team, including, importantly, an industry partner. [continues in next column]</t>
        </is>
      </c>
      <c r="K58" s="2" t="inlineStr">
        <is>
          <t>Digital health intervention product design and deployment are both important in getting National Health Service trusts, healthcare professionals and patients to engage with a digital health intervention. Projects should work closely with all user groups. Lockdown and the unmet need of a new patient group encouraged those who might otherwise have been reluctant to try a digital health intervention. Many patients and clinics accepted this digital remote support, which helped patients feel cared for while reducing strain on health services. This may encourage acceptance of other digital health intervention, although medical record integration remains a deterrent to clinics. FUTURE WORK: This research focused on the development, deployment and evaluation of a digitally enabled rehabilitation programme for long COVID. Clinical effectiveness will be assessed within the Symptoms, Trajectory, Inequalities and Management: Understanding Long-COVID to Address and Transform Existing Integrated Care Pathways (UCL, London, UK) study. FUNDING: This synopsis presents independent research funded by the National Institute for Health and Care Research (NIHR) Health and Social Care Delivery Research programme as award number NIHR132243.</t>
        </is>
      </c>
      <c r="L58" s="2" t="n"/>
      <c r="M58" s="4" t="inlineStr">
        <is>
          <t>https://doi.org/10.3310/GJHG0331</t>
        </is>
      </c>
    </row>
    <row r="59" ht="188" customHeight="1">
      <c r="A59" s="2" t="n">
        <v>58</v>
      </c>
      <c r="B59" s="2" t="inlineStr">
        <is>
          <t>R0245</t>
        </is>
      </c>
      <c r="C59" s="3" t="n"/>
      <c r="D59" s="3" t="n"/>
      <c r="E59" s="3" t="n"/>
      <c r="F59" s="2" t="n">
        <v>2016</v>
      </c>
      <c r="G59" s="2" t="inlineStr">
        <is>
          <t>Journal Article; Research Support, Non-U.S. Gov't</t>
        </is>
      </c>
      <c r="H59" s="2" t="inlineStr">
        <is>
          <t>Perspectives in health information management</t>
        </is>
      </c>
      <c r="I59" s="2" t="inlineStr">
        <is>
          <t>Exploring Health Information Exchange Implementation Using Qualitative Assessments of Nursing Home Leaders.</t>
        </is>
      </c>
      <c r="J59" s="2" t="inlineStr">
        <is>
          <t>OBJECTIVES: Limited research exists on nursing home information technologies, such as health information exchange (HIE) systems. Capturing the experiences of early HIE adopters provides vital information about how these systems are used. In this study, we conduct a secondary analysis of qualitative data captured during interviews with 15 nursing home leaders representing 14 nursing homes in the midwestern United States that are part of the Missouri Quality Improvement Initiative (MOQI) national demonstration project. METHODS: The interviews were conducted as part of an external evaluation of the HIE vendor contracting with the MOQI initiative with the purpose of understanding the challenges and successes of HIE implementation, with a particular focus on Direct HIE services. RESULTS: Emerging themes included (1) incorporating HIE into existing work processes, (2) participation inside and outside the facility, (3) appropriate training and retraining, (4) getting others to use the HIE, (5) getting the HIE operational, and 6) putting policies for technology into place. DISCUSSION: Three essential areas should be considered for nursing homes considering HIE adoption: readiness to adopt technology, availability of technology resources, and matching of new clinical workflows.</t>
        </is>
      </c>
      <c r="K59" s="2" t="n"/>
      <c r="L59" s="2" t="n"/>
      <c r="M59" s="2" t="n"/>
    </row>
    <row r="60" ht="357" customHeight="1">
      <c r="A60" s="2" t="n">
        <v>59</v>
      </c>
      <c r="B60" s="2" t="inlineStr">
        <is>
          <t>R0363</t>
        </is>
      </c>
      <c r="C60" s="3" t="n"/>
      <c r="D60" s="3" t="n"/>
      <c r="E60" s="3" t="n"/>
      <c r="F60" s="2" t="n">
        <v>2022</v>
      </c>
      <c r="G60" s="2" t="inlineStr">
        <is>
          <t>Journal Article</t>
        </is>
      </c>
      <c r="H60" s="2" t="inlineStr">
        <is>
          <t>BMC health services research</t>
        </is>
      </c>
      <c r="I60" s="2" t="inlineStr">
        <is>
          <t>Evaluation of the nation-wide implementation of ALS home monitoring &amp; coaching: an e-health innovation for personalized care for patients with motor neuron disease.</t>
        </is>
      </c>
      <c r="J60" s="2" t="inlineStr">
        <is>
          <t>BACKGROUND: To improve the care for patients with motor neuron disease an e-health innovation for continuous monitoring of disease progression and patients' well-being (ALS H&amp;C) was implemented in 10 multidisciplinary rehabilitation settings. The first aim was to evaluate the implementation of ALS H&amp;C by assessing several implementation outcomes, technology acceptance and usability of the innovation according to the end users. The secondary aim was to explore differences in these outcomes between the teams with sustainable and unsustainable implementation. METHODS: The chosen implementation strategy was a combination of the implementation process model by Grol &amp; Wensing and a participatory action research approach. In three meetings with multidisciplinary project groups the innovation was introduced, the expected barriers/facilitators identified, and action plans to resolve each barrier developed. After a 3-month pilot phase, patients and their healthcare providers were asked to complete an online evaluation survey to assess implementation outcomes, based on Proctor's evaluation framework (i.e., acceptability, feasibility, fidelity, sustainability). Telemedicine technology acceptance was assessed according the technology acceptance model of Chau, and user experiences with the System Usability Scale (SUS). Implementation outcomes of teams with sustainable implementation (continuation after completion of the pilot phase) and unsustainable implementation (discontinuation after the pilot phase) were compared. RESULTS: The implementation outcomes from the patients' perspective (N = 71) were positive; they found ALS H&amp;C to be an acceptable and feasible care concept. Patients' technology acceptance was high, with positive attitudes towards ALS H&amp;C, and positive views on perceived technology control, usefulness, and ease of use. Patients rated their satisfaction with the (web) app on a scale from 1 (not satisfied at all) to 10 (very satisfied) with a 7.0 (median; IQR 1.0). Healthcare providers (N = 76) also found ALS H&amp;C acceptable and appropriate as well, but were less positive about the feasibility and usability of ALS H&amp;C (mean SUS 58.8 [SD 11.3]). ALS H&amp;C has largely been implemented as intended and the implementation was sustainable in 7 teams. Teams who discontinued ALS H&amp;C after the pilot phase (N = 2) had more fidelity issues. CONCLUSIONS: A participatory action research approach supported by theoretical approaches used in implementation science led to a sustainable implementation of ALS H&amp;C in 7 of the participating teams. [continues in next column]</t>
        </is>
      </c>
      <c r="K60" s="2" t="inlineStr">
        <is>
          <t>To improve implementation success, additional implementation strategies to increase feasibility, usability and fidelity are necessary. TRIAL REGISTRATION: Trial NL8542 registered at Netherlands Trial Register (trialregister.nl) on 15th April 2020.</t>
        </is>
      </c>
      <c r="L60" s="2" t="n"/>
      <c r="M60" s="4" t="inlineStr">
        <is>
          <t>https://doi.org/10.1186/s12913-022-08724-6</t>
        </is>
      </c>
    </row>
    <row r="61" ht="292" customHeight="1">
      <c r="A61" s="2" t="n">
        <v>60</v>
      </c>
      <c r="B61" s="2" t="inlineStr">
        <is>
          <t>R0411</t>
        </is>
      </c>
      <c r="C61" s="3" t="n"/>
      <c r="D61" s="3" t="n"/>
      <c r="E61" s="3" t="n"/>
      <c r="F61" s="2" t="n">
        <v>2020</v>
      </c>
      <c r="G61" s="2" t="inlineStr">
        <is>
          <t>Journal Article</t>
        </is>
      </c>
      <c r="H61" s="2" t="inlineStr">
        <is>
          <t>Journal of multidisciplinary healthcare</t>
        </is>
      </c>
      <c r="I61" s="2" t="inlineStr">
        <is>
          <t>The Applicability of the Modified Technology Acceptance Model (TAM) on the Sustainable Adoption of eHealth Systems in Resource-Limited Settings.</t>
        </is>
      </c>
      <c r="J61" s="2" t="inlineStr">
        <is>
          <t>BACKGROUND: The implementation of eHealth systems with a trial-and-error approach is very expensive and unsuccessful. So, this study aims to examine the constructs and relationships of the modified technology acceptance model (TAM) to determine whether it can be applied to assess health professional's behavioral intention to adopt eHealth systems in resource-limited settings or not. METHODS: The institutional-based cross-sectional study design was conducted among a total of 384 healthcare professionals in referral hospitals of Amhara regional state, Ethiopia. Self-administered questionnaire was used to collect the data, and the data were entered using Epi-info version 7 and the descriptive data were analyzed using SPSS version 25. Structural equation modeling, using AMOS 22, was also applied to describe and validate the degree of relationships between variables. RESULTS: The findings of the structural equation modeling (SEM) indicate that perceived usefulness has a significant influence on attitude (β =0.298, P&lt;0.01) and intention to use eHealth (β =0.387, P&lt;0.01). Perceived ease of use has significant influence on perceived usefulness (β=0.385, P&lt;0.05) and attitude (β=0.347, P&lt;0.05) and intention to use eHealth (β=0.339, P&lt;0.01). Technical infrastructure has significant influence on attitude (β =0.412, P&lt;0.01) and intention to use eHealth (β =0.355, P&lt;0.01). The staffs IT experience has a significant influence on perceived usefulness (β =0.595, P&lt;0.01) and attitude (β =0.267, P&lt;0.05), but the effect of IT experience on the intention to use eHealth was not significant. Among all the constructs, healthcare professionals attitude towards eHealth showed the strongest effect on the intention to use eHealth systems (β = 0.52, P&lt;0.01). CONCLUSION: Overall, this model describes 56.2% of the variance in behavioral intention to use eHealth systems. Therefore, the implementers should give priority in enhancing the organizations technical infrastructure, staff's IT skill, and their attitude towards eHealth by giving continuous support.</t>
        </is>
      </c>
      <c r="K61" s="2" t="n"/>
      <c r="L61" s="2" t="n"/>
      <c r="M61" s="4" t="inlineStr">
        <is>
          <t>https://doi.org/10.2147/JMDH.S284973</t>
        </is>
      </c>
    </row>
    <row r="62" ht="266" customHeight="1">
      <c r="A62" s="2" t="n">
        <v>61</v>
      </c>
      <c r="B62" s="2" t="inlineStr">
        <is>
          <t>R0074</t>
        </is>
      </c>
      <c r="C62" s="3" t="n"/>
      <c r="D62" s="3" t="n"/>
      <c r="E62" s="3" t="n"/>
      <c r="F62" s="2" t="n">
        <v>2017</v>
      </c>
      <c r="G62" s="2" t="inlineStr">
        <is>
          <t>Journal Article; Review</t>
        </is>
      </c>
      <c r="H62" s="2" t="inlineStr">
        <is>
          <t>African journal of primary health care &amp; family medicine</t>
        </is>
      </c>
      <c r="I62" s="2" t="inlineStr">
        <is>
          <t>Barriers and opportunities to implementation of sustainable e-Health programmes in Uganda: A literature review.</t>
        </is>
      </c>
      <c r="J62" s="2" t="inlineStr">
        <is>
          <t>BACKGROUND: Most developing countries, including Uganda, have embraced the use of e-Health and m-Health applications as a means to improve primary healthcare delivery and public health for their populace. In Uganda, the growth in the information and communications technology industry has benefited the rural communities and also created opportunities for new innovations, and their application into healthcare has reported positive results, especially in the areas of disease control and prevention through disease surveillance. However, most are mere proof-of-concepts, only demonstrated in use within a small context and lack sustainability. This study reviews the literature to understand e-Health's current implementation status within Uganda and documents the barriers and opportunities to sustainable e-Health intervention programmes in Uganda. METHODS: A structured literature review of e-Health in Uganda was undertaken between May and December 2015 and was complemented with hand searching and a document review of grey literature in the form of policy documents and reports obtained online or from the Ministry of Health's Resource Centre. RESULTS: The searches identified a total of 293 resources of which 48 articles met the inclusion criteria of being in English and describing e-Health implementation in Uganda. These were included in the study and were examined in detail. CONCLUSION: Uganda has trialled several e-Health and m-Health solutions to address healthcare challenges. Most were donor funded, operated in silos and lacked sustainability. Various barriers have been identified. Evidence has shown that e-Health implementations in Uganda have lacked prior planning stages that the literature notes as essential, for example strategy and need readiness assessment. Future research should address these shortcomings prior to introduction of e-Health innovations.</t>
        </is>
      </c>
      <c r="K62" s="2" t="n"/>
      <c r="L62" s="2" t="n"/>
      <c r="M62" s="4" t="inlineStr">
        <is>
          <t>https://doi.org/10.4102/phcfm.v9i1.1277</t>
        </is>
      </c>
    </row>
    <row r="63" ht="175" customHeight="1">
      <c r="A63" s="2" t="n">
        <v>62</v>
      </c>
      <c r="B63" s="2" t="inlineStr">
        <is>
          <t>R0801</t>
        </is>
      </c>
      <c r="C63" s="3" t="n"/>
      <c r="D63" s="3" t="n"/>
      <c r="E63" s="3" t="n"/>
      <c r="F63" s="2" t="n">
        <v>2022</v>
      </c>
      <c r="G63" s="2" t="inlineStr">
        <is>
          <t>Journal Article</t>
        </is>
      </c>
      <c r="H63" s="2" t="inlineStr">
        <is>
          <t>Studies in health technology and informatics</t>
        </is>
      </c>
      <c r="I63" s="2" t="inlineStr">
        <is>
          <t>Implementation of a Clinical Trial Recruitment Support System Based on Fast Healthcare Interoperability Resources (FHIR) in a Cardiology Department.</t>
        </is>
      </c>
      <c r="J63" s="2" t="inlineStr">
        <is>
          <t>Clinical Trial Recruitment Support Systems can booster patient inclusion of clinical trials by automatically analyzing eligibility criteria based on electronic health records. However, missing interoperability has hindered introduction of those systems on a broader scale. Therefore, our aim was to develop a recruitment support system based on FHIR R4 and evaluate its usage and features in a cardiology department. Clinical conditions, anamnesis, examinations, allergies, medication, laboratory data and echocardiography results were imported as FHIR resources. Clinical trial information, eligibility criteria and recruitment status were recorded using the appropriate FHIR resources without extensions. Eligibility criteria linked by the logical operation "OR" were represented by using multiple FHIR Group resources for enrollment. The system was able to identify 52 of 55 patients included in four clinical trials. In conclusion, use of FHIR for defining eligibility criteria of clinical trials may facilitate interoperability and allow automatic screening for eligible patients at multiple sites of different healthcare providers in the future. Upcoming changes in FHIR should allow easier description of "OR"-linked eligibility criteria.</t>
        </is>
      </c>
      <c r="K63" s="2" t="n"/>
      <c r="L63" s="2" t="n"/>
      <c r="M63" s="4" t="inlineStr">
        <is>
          <t>https://doi.org/10.3233/SHTI220497</t>
        </is>
      </c>
    </row>
    <row r="64" ht="344" customHeight="1">
      <c r="A64" s="2" t="n">
        <v>63</v>
      </c>
      <c r="B64" s="2" t="inlineStr">
        <is>
          <t>R0412</t>
        </is>
      </c>
      <c r="C64" s="3" t="n"/>
      <c r="D64" s="3" t="n"/>
      <c r="E64" s="3" t="n"/>
      <c r="F64" s="2" t="n">
        <v>2017</v>
      </c>
      <c r="G64" s="2" t="inlineStr">
        <is>
          <t>Journal Article</t>
        </is>
      </c>
      <c r="H64" s="2" t="inlineStr">
        <is>
          <t>BMC medical informatics and decision making</t>
        </is>
      </c>
      <c r="I64" s="2" t="inlineStr">
        <is>
          <t>Implementation of eMental Health care: viewpoints from key informants from organizations and agencies with eHealth mandates.</t>
        </is>
      </c>
      <c r="J64" s="2" t="inlineStr">
        <is>
          <t>BACKGROUND: The use of technology such as computers, tablets, and smartphones to improve access to and the delivery of mental health care (eMental Health care) is growing worldwide. However, despite the rapidly expanding evidence base demonstrating the efficacy of eMental Health care, its implementation in clinical practice and health care systems remains fragmented. To date, no peer-reviewed, key-informant studies have reported on the perspectives of decision-makers concerned with whether and how to implement eMental Health care. METHODS: From September to November 2015, we conducted 31 interviews with key informants responsible for leadership, policy, research, and/ or information technology in organizations influential in the adoption of technology for eMental Health care. Deductive and inductive thematic analyses of transcripts were conducted using the Behavior Change Wheel as an organizing framework. Frequency and intensity effect sizes were calculated for emerging themes to further explore patterns within the data. RESULTS: Key informant responses (n = 31) representing 6 developed countries and multiple organizations showed consensus on common factors impacting implementation: individual and organizational capacities (e.g., computer literacy skills [patients and providers], knowledge gaps about cyber security, limited knowledge of available services); motivational drivers of technology-based care (e.g., extending care, data analytics); and opportunities for health systems to advance eMental Health care implementation (e.g., intersectoral research, rapid testing cycles, sustainable funding). Frequency effect sizes showed strong associations between implementation and credibility, knowledge, workflow, patient empowerment, electronic medical record (EMR) integration, sustained funding and intersectoral networks. Intensity effect sizes showed the highest concentration of statements (&gt;10% of all comments) related to funding, credibility, knowledge gaps, and patient empowerment. CONCLUSION: This study provides previously unavailable information about key informant perspectives on eMental Health care implementation. The themes that emerged, namely the need to intensify intersectoral research, measure/monitor readiness to implement, define cost-utility benchmarks, raise awareness about available technologies, and test assumptions that 'proven' technologies will be easily integrated can inform the design and evaluation of eMental Health care implementation models.</t>
        </is>
      </c>
      <c r="K64" s="2" t="n"/>
      <c r="L64" s="2" t="n"/>
      <c r="M64" s="4" t="inlineStr">
        <is>
          <t>https://doi.org/10.1186/s12911-017-0474-9</t>
        </is>
      </c>
    </row>
    <row r="65" ht="240" customHeight="1">
      <c r="A65" s="2" t="n">
        <v>64</v>
      </c>
      <c r="B65" s="2" t="inlineStr">
        <is>
          <t>R1550</t>
        </is>
      </c>
      <c r="C65" s="3" t="n"/>
      <c r="D65" s="3" t="n"/>
      <c r="E65" s="3" t="n"/>
      <c r="F65" s="2" t="n">
        <v>2017</v>
      </c>
      <c r="G65" s="2" t="inlineStr">
        <is>
          <t>Journal Article</t>
        </is>
      </c>
      <c r="H65" s="2" t="inlineStr">
        <is>
          <t>International journal of medical informatics</t>
        </is>
      </c>
      <c r="I65" s="2" t="inlineStr">
        <is>
          <t>Implementation of a cloud-based electronic medical record exchange system in compliance with the integrating healthcare enterprise's cross-enterprise document sharing integration profile.</t>
        </is>
      </c>
      <c r="J65" s="2" t="inlineStr">
        <is>
          <t>In 2011, the Ministry of Health and Welfare of Taiwan established the National Electronic Medical Record Exchange Center (EEC) to permit the sharing of medical resources among hospitals. This system can presently exchange electronic medical records (EMRs) among hospitals, in the form of medical imaging reports, laboratory test reports, discharge summaries, outpatient records, and outpatient medication records. Hospitals can send or retrieve EMRs over the virtual private network by connecting to the EEC through a gateway. International standards should be adopted in the EEC to allow users with those standards to take advantage of this exchange service. In this study, a cloud-based EMR-exchange prototyping system was implemented on the basis of the Integrating the Healthcare Enterprise's Cross-Enterprise Document Sharing integration profile and the existing EMR exchange system. RESTful services were used to implement the proposed prototyping system on the Microsoft Azure cloud-computing platform. Four scenarios were created in Microsoft Azure to determine the feasibility and effectiveness of the proposed system. The experimental results demonstrated that the proposed system successfully completed EMR exchange under the four scenarios created in Microsoft Azure. Additional experiments were conducted to compare the efficiency of the EMR-exchanging mechanisms of the proposed system with those of the existing EEC system. The experimental results suggest that the proposed RESTful service approach is superior to the Simple Object Access Protocol method currently implemented in the EEC system, according to the irrespective response times under the four experimental scenarios.</t>
        </is>
      </c>
      <c r="K65" s="2" t="n"/>
      <c r="L65" s="2" t="n"/>
      <c r="M65" s="4" t="inlineStr">
        <is>
          <t>https://doi.org/10.1016/j.ijmedinf.2017.09.001</t>
        </is>
      </c>
    </row>
    <row r="66" ht="318" customHeight="1">
      <c r="A66" s="2" t="n">
        <v>65</v>
      </c>
      <c r="B66" s="2" t="inlineStr">
        <is>
          <t>R1307</t>
        </is>
      </c>
      <c r="C66" s="3" t="n"/>
      <c r="D66" s="3" t="n"/>
      <c r="E66" s="3" t="n"/>
      <c r="F66" s="2" t="n">
        <v>2018</v>
      </c>
      <c r="G66" s="2" t="inlineStr">
        <is>
          <t>Journal Article; Research Support, Non-U.S. Gov't</t>
        </is>
      </c>
      <c r="H66" s="2" t="inlineStr">
        <is>
          <t>International journal of medical informatics</t>
        </is>
      </c>
      <c r="I66" s="2" t="inlineStr">
        <is>
          <t>Regional differences in electronic medical record adoption in Japan: A nationwide longitudinal ecological study.</t>
        </is>
      </c>
      <c r="J66" s="2" t="inlineStr">
        <is>
          <t>PURPOSE: Regional differences in the adoption of electronic medical records (EMR) are a major problem, yet little is known about these differences internationally. We analyzed regional differences in EMR adoption in Japan and evaluated factors associated with these differences. METHODS: This nationwide ecological study used secondary data from all secondary medical service areas (SMSAs) in fiscal years 2008 (n = 348) and 2014 (n = 344). For each SMSA we collected the following information from a Japanese national database: the number of medical facilities that had adopted EMR, the population density, the average per capita income, the number of working doctors per 1000 people, and the proportion of interns to all working doctors. To adjust for medical facility characteristics in each SMSA, such as number of beds, public versus private hospital, and hospital type (psychiatric or other), we estimated the standardized adoption ratio (SAR) for EMR adoption, modeled on the standardized mortality ratio. We calculated Moran's I for the SAR and investigated whether the SAR had spatial autocorrelations. We evaluated the association between the SAR and regional factors with a conditional autoregressive model. We compared these results in 2008 and 2014, for both hospitals and clinics. RESULTS: While the EMR adoption rate in SMSAs increased, Moran's I of the SAR in hospitals was close to 1 in both 2008 and 2014, and Moran's I of the SAR in clinics increased from 2008 to 2014. For hospitals, there was a significant association between the proportion of interns to all working doctors and the SAR only in 2008. For clinics, average income in the SMSA was positively associated with the SAR, whereas the number of working doctors was negatively associated with the SAR in both 2008 and 2014. Population density was positively associated with the SAR only in 2014. CONCLUSION: From 2008 to 2014, EMR adoption in Japan generally increased, but geographical differences did not improve. Regional factors associated with the SAR were different for hospitals than for clinics. Therefore, the government should take different approaches for clinics and hospitals to improve regional differences in EMR adoption, especially in providing financial and technical support.</t>
        </is>
      </c>
      <c r="K66" s="2" t="n"/>
      <c r="L66" s="2" t="n"/>
      <c r="M66" s="4" t="inlineStr">
        <is>
          <t>https://doi.org/10.1016/j.ijmedinf.2018.05.002</t>
        </is>
      </c>
    </row>
    <row r="67" ht="32" customHeight="1">
      <c r="A67" s="2" t="n">
        <v>66</v>
      </c>
      <c r="B67" s="2" t="inlineStr">
        <is>
          <t>R0967</t>
        </is>
      </c>
      <c r="C67" s="3" t="n"/>
      <c r="D67" s="3" t="n"/>
      <c r="E67" s="3" t="n"/>
      <c r="F67" s="2" t="n">
        <v>2015</v>
      </c>
      <c r="G67" s="2" t="inlineStr">
        <is>
          <t>Journal Article</t>
        </is>
      </c>
      <c r="H67" s="2" t="inlineStr">
        <is>
          <t>Journal of wound care</t>
        </is>
      </c>
      <c r="I67" s="2" t="inlineStr">
        <is>
          <t>Chapter 5: Barriers and facilitators for eHealth.</t>
        </is>
      </c>
      <c r="J67" s="2" t="inlineStr">
        <is>
          <t>[no abstract - screen on title, venue, and document type]</t>
        </is>
      </c>
      <c r="K67" s="2" t="n"/>
      <c r="L67" s="2" t="n"/>
      <c r="M67" s="4" t="inlineStr">
        <is>
          <t>https://doi.org/10.12968/jowc.2015.24.Sup5.S25</t>
        </is>
      </c>
    </row>
    <row r="68" ht="214" customHeight="1">
      <c r="A68" s="2" t="n">
        <v>67</v>
      </c>
      <c r="B68" s="2" t="inlineStr">
        <is>
          <t>R0558</t>
        </is>
      </c>
      <c r="C68" s="3" t="n"/>
      <c r="D68" s="3" t="n"/>
      <c r="E68" s="3" t="n"/>
      <c r="F68" s="2" t="n">
        <v>2019</v>
      </c>
      <c r="G68" s="2" t="inlineStr">
        <is>
          <t>Journal Article</t>
        </is>
      </c>
      <c r="H68" s="2" t="inlineStr">
        <is>
          <t>Social science &amp; medicine (1982)</t>
        </is>
      </c>
      <c r="I68" s="2" t="inlineStr">
        <is>
          <t>Invisible work and changing roles: Health information technology implementation and reorganization of work practices for the inpatient nursing team.</t>
        </is>
      </c>
      <c r="J68" s="2" t="inlineStr">
        <is>
          <t>Hospitals have invested heavily in health information technology (HIT) which has been promoted as an integral component of quality, safe, and efficient health-care delivery. Research on the expanding use of such technology, however, has shown that user/technology interactions are shaped through practices of use that can yield far from normative, even unexpected outcomes. Drawing upon focus group and interview data from an inpatient, two-hospital health system in the United States, this paper considers the perceived impact of HIT implementation on work practices and roles for nurse managers and unit clerks. We find that HIT implementation generated significant reconfigurations of work practices at the expense of nurse/patient interaction. Following such changes, nursing leadership described re-prioritizing patient care and interaction - perceived to them as essential to the patient experience and unit functioning - through realignments in staffing that prioritized more versatile staff and task delegation of largely invisible, articulation work to unit clerks. Despite maintaining an integral role as "gatekeeper" and the "face on the floor," unit clerks experienced significant reconfigurations of their work and some concomitant uncertainty about their role. We consider the implications of our findings for literature on the socio-materiality of HIT, with particular attention to literature on work practices, roles, and the visibility of work within organizational power hierarchies.</t>
        </is>
      </c>
      <c r="K68" s="2" t="n"/>
      <c r="L68" s="2" t="n"/>
      <c r="M68" s="4" t="inlineStr">
        <is>
          <t>https://doi.org/10.1016/j.socscimed.2019.112387</t>
        </is>
      </c>
    </row>
    <row r="69" ht="305" customHeight="1">
      <c r="A69" s="2" t="n">
        <v>68</v>
      </c>
      <c r="B69" s="2" t="inlineStr">
        <is>
          <t>R1453</t>
        </is>
      </c>
      <c r="C69" s="3" t="n"/>
      <c r="D69" s="3" t="n"/>
      <c r="E69" s="3" t="n"/>
      <c r="F69" s="2" t="n">
        <v>2024</v>
      </c>
      <c r="G69" s="2" t="inlineStr">
        <is>
          <t>Journal Article</t>
        </is>
      </c>
      <c r="H69" s="2" t="inlineStr">
        <is>
          <t>JMIR research protocols</t>
        </is>
      </c>
      <c r="I69" s="2" t="inlineStr">
        <is>
          <t>An Approach to Potentially Increasing Adoption of an Artificial Intelligence-Enabled Electronic Medical Record Encounter in Canadian Primary Care: Protocol for a User-Centered Design.</t>
        </is>
      </c>
      <c r="J69" s="2" t="inlineStr">
        <is>
          <t>BACKGROUND: Primary care physicians are at the forefront of the clinical process that can lead to diagnosis, referral, and treatment. With electronic medical records (EMRs) being introduced and, over time, gaining acceptance by primary care users, they have now become a standard part of care. EMRs have the potential to be further optimized with the introduction of artificial intelligence (AI). There has yet to be a widespread exploration of the use of AI in primary health care and how clinicians envision AI use to encourage further uptake. OBJECTIVE: The primary objective of this research is to understand if the user-centered design approach, rooted in contextual design, can lead to an increased likelihood of adoption of an AI-enabled encounter module embedded in a primary care EMR. In this study, we use human factor models and the technology acceptance model to understand the results. METHODS: To accomplish this, a partnership has been established with an industry partner, TELUS Health, to use their EMR, the collaborative health record. The overall intention is to understand how to improve the user experience by using user-centered design to inform how AI should be embedded in an EMR encounter. Given this intention, a user-centered approach will be used to accomplish it. The approach of user-centered design requires qualitative interviewing to gain a clear understanding of users' approaches, intentions, and other key insights to inform the design process. A total of 5 phases have been designed for this study. RESULTS: As of March 2024, a total of 14 primary care clinician participants have been recruited and interviewed. First-cycle coding of all qualitative data results is being conducted to inform redesign considerations. CONCLUSIONS: Some limitations need to be acknowledged related to the approach of this study. There is a lack of market maturity of AI-enabled EMR encounters in primary care, requiring research to take place through scenario-based interviews. However, this participant group will still help inform design considerations for this tool. This study is targeted for completion in the late fall of 2024. INTERNATIONAL REGISTERED REPORT IDENTIFIER (IRRID): DERR1-10.2196/54365.</t>
        </is>
      </c>
      <c r="K69" s="2" t="n"/>
      <c r="L69" s="2" t="n"/>
      <c r="M69" s="4" t="inlineStr">
        <is>
          <t>https://doi.org/10.2196/54365</t>
        </is>
      </c>
    </row>
    <row r="70" ht="58" customHeight="1">
      <c r="A70" s="2" t="n">
        <v>69</v>
      </c>
      <c r="B70" s="2" t="inlineStr">
        <is>
          <t>R0552</t>
        </is>
      </c>
      <c r="C70" s="3" t="n"/>
      <c r="D70" s="3" t="n"/>
      <c r="E70" s="3" t="n"/>
      <c r="F70" s="2" t="n">
        <v>2019</v>
      </c>
      <c r="G70" s="2" t="inlineStr">
        <is>
          <t>Journal Article</t>
        </is>
      </c>
      <c r="H70" s="2" t="inlineStr">
        <is>
          <t>Computers, informatics, nursing : CIN</t>
        </is>
      </c>
      <c r="I70" s="2" t="inlineStr">
        <is>
          <t>Improved Patient Flow and Provider Efficiency After the Implementation of an Electronic Health Record.</t>
        </is>
      </c>
      <c r="J70" s="2" t="inlineStr">
        <is>
          <t>[no abstract - screen on title, venue, and document type]</t>
        </is>
      </c>
      <c r="K70" s="2" t="n"/>
      <c r="L70" s="2" t="n"/>
      <c r="M70" s="4" t="inlineStr">
        <is>
          <t>https://doi.org/10.1097/01.NCN.0000585332.14479.9e</t>
        </is>
      </c>
    </row>
    <row r="71" ht="253" customHeight="1">
      <c r="A71" s="2" t="n">
        <v>70</v>
      </c>
      <c r="B71" s="2" t="inlineStr">
        <is>
          <t>R1356</t>
        </is>
      </c>
      <c r="C71" s="3" t="n"/>
      <c r="D71" s="3" t="n"/>
      <c r="E71" s="3" t="n"/>
      <c r="F71" s="2" t="n">
        <v>2021</v>
      </c>
      <c r="G71" s="2" t="inlineStr">
        <is>
          <t>Journal Article</t>
        </is>
      </c>
      <c r="H71" s="2" t="inlineStr">
        <is>
          <t>JAMIA open</t>
        </is>
      </c>
      <c r="I71" s="2" t="inlineStr">
        <is>
          <t>Identification of social determinants of health using multi-label classification of electronic health record clinical notes.</t>
        </is>
      </c>
      <c r="J71" s="2" t="inlineStr">
        <is>
          <t>OBJECTIVES: Social determinants of health (SDH), key contributors to health, are rarely systematically measured and collected in the electronic health record (EHR). We investigate how to leverage clinical notes using novel applications of multi-label learning (MLL) to classify SDH in mental health and substance use disorder patients who frequent the emergency department. METHODS AND MATERIALS: We labeled a gold-standard corpus of EHR clinical note sentences (N = 4063) with 6 identified SDH-related domains recommended by the Institute of Medicine for inclusion in the EHR. We then trained 5 classification models: linear-Support Vector Machine, K-Nearest Neighbors, Random Forest, XGBoost, and bidirectional Long Short-Term Memory (BI-LSTM). We adopted 5 common evaluation measures: accuracy, average precision-recall (AP), area under the curve receiver operating characteristic (AUC-ROC), Hamming loss, and log loss to compare the performance of different methods for MLL classification using the F1 score as the primary evaluation metric. RESULTS: Our results suggested that, overall, BI-LSTM outperformed the other classification models in terms of AUC-ROC (93.9), AP (0.76), and Hamming loss (0.12). The AUC-ROC values of MLL models of SDH related domains varied between (0.59-1.0). We found that 44.6% of our study population (N = 1119) had at least one positive documentation of SDH. DISCUSSION AND CONCLUSION: The proposed approach of training an MLL model on an SDH rich data source can produce a high performing classifier using only unstructured clinical notes. We also provide evidence that model performance is associated with lexical diversity by health professionals and the auto-generation of clinical note sentences to document SDH.</t>
        </is>
      </c>
      <c r="K71" s="2" t="n"/>
      <c r="L71" s="2" t="n"/>
      <c r="M71" s="4" t="inlineStr">
        <is>
          <t>https://doi.org/10.1093/jamiaopen/ooaa069</t>
        </is>
      </c>
    </row>
    <row r="72" ht="240" customHeight="1">
      <c r="A72" s="2" t="n">
        <v>71</v>
      </c>
      <c r="B72" s="2" t="inlineStr">
        <is>
          <t>R1594</t>
        </is>
      </c>
      <c r="C72" s="3" t="n"/>
      <c r="D72" s="3" t="n"/>
      <c r="E72" s="3" t="n"/>
      <c r="F72" s="2" t="n">
        <v>2020</v>
      </c>
      <c r="G72" s="2" t="inlineStr">
        <is>
          <t>IEEE Conferences</t>
        </is>
      </c>
      <c r="H72" s="2" t="inlineStr">
        <is>
          <t>2020 27th International Conference on Telecommunications (ICT)</t>
        </is>
      </c>
      <c r="I72" s="2" t="inlineStr">
        <is>
          <t>A Preliminary Implementation of HL7 FHIR to Achieve Interoperability in Indonesia's Local EHR</t>
        </is>
      </c>
      <c r="J72" s="2" t="inlineStr">
        <is>
          <t>Electronic Health Records (EHR) presents opportunities to improve interoperability between healthcare services. Interoperability is needed by the primary health centers in Indonesia to enable seamless transfer of patient's health records across healthcare facilities. However, the development of EHR in Indonesia makes interoperability difficult to achieve because it is built differently among healthcare services. This study aims to explore the feasibility of implementing the HL7 FHIR standard in the Indonesian primary health center's EHR. Fast Healthcare Interoperability Resources (FHIR) is a health interoperability standard developed by HL7 that supports syntactic interoperability upon the concept of resources and API. This interoperability standard helps to build the bridge to enable coordination between different systems. In this study, we implemented an EHR client-server prototype to simulate the exchange of health data using the FHIR resources and REST API. The health data messages were modeled and structured as a FHIR resource. The calculation of content overlap shows that only 65.8% of local health data can be represented as a FHIR resource. We did the profiling to further adapt the use of FHIR resources to meet Indonesia's health data requirements. The extensions were added to represent the local data elements that FHIR resources cannot cover. This preliminary study showed that FHIR implementation is possible in Indonesia's primary health centers. The implementation of 111.7 FHIR using FHIR resources, profile, and REST API supports the syntactic and semantic interoperability. It can provide quality data to support the referral system, analysis purposes, and health decision-making.</t>
        </is>
      </c>
      <c r="K72" s="2" t="n"/>
      <c r="L72" s="2" t="n"/>
      <c r="M72" s="4" t="inlineStr">
        <is>
          <t>https://doi.org/10.1109/ICT49546.2020.9239534</t>
        </is>
      </c>
    </row>
    <row r="73" ht="253" customHeight="1">
      <c r="A73" s="2" t="n">
        <v>72</v>
      </c>
      <c r="B73" s="2" t="inlineStr">
        <is>
          <t>R0145</t>
        </is>
      </c>
      <c r="C73" s="3" t="n"/>
      <c r="D73" s="3" t="n"/>
      <c r="E73" s="3" t="n"/>
      <c r="F73" s="2" t="n">
        <v>2024</v>
      </c>
      <c r="G73" s="2" t="inlineStr">
        <is>
          <t>Journal Article</t>
        </is>
      </c>
      <c r="H73" s="2" t="inlineStr">
        <is>
          <t>NPJ digital medicine</t>
        </is>
      </c>
      <c r="I73" s="2" t="inlineStr">
        <is>
          <t>Understanding inherent influencing factors to digital health adoption in general practices through a mixed-methods analysis.</t>
        </is>
      </c>
      <c r="J73" s="2" t="inlineStr">
        <is>
          <t>Extensive research has shown the potential value of digital health solutions and highlighted the importance of clinicians' adoption. As general practitioners (GPs) are patients' first point of contact, understanding influencing factors to their digital health adoption is especially important to derive personalized practical recommendations. Using a mixed-methods approach, this study broadly identifies adoption barriers and potential improvement strategies in general practices, including the impact of GPs' inherent characteristics - especially their personality - on digital health adoption. Results of our online survey with 216 GPs reveal moderate overall barriers on a 5-point Likert-type scale, with required workflow adjustments (M = 4.13, SD = 0.93), inadequate reimbursement (M = 4.02, SD = 1.02), and high training effort (M = 3.87, SD = 1.01) as substantial barriers. Improvement strategies are considered important overall, with respondents especially wishing for improved interoperability (M = 4.38, SD = 0.81), continued technical support (M = 4.33, SD = 0.91), and improved usability (M = 4.20, SD = 0.88). In our regression model, practice-related characteristics, the expected future digital health usage, GPs' digital affinity, several personality traits, and digital maturity are significant predictors of the perceived strength of barriers. For the perceived importance of improvement strategies, only demographics and usage-related variables are significant predictors. This study provides strong evidence for the impact of GPs' inherent characteristics on barriers and improvement strategies. Our findings highlight the need for comprehensive approaches integrating personal and emotional elements to make digitization in practices more engaging, tangible, and applicable.</t>
        </is>
      </c>
      <c r="K73" s="2" t="n"/>
      <c r="L73" s="2" t="n"/>
      <c r="M73" s="4" t="inlineStr">
        <is>
          <t>https://doi.org/10.1038/s41746-024-01049-0</t>
        </is>
      </c>
    </row>
    <row r="74" ht="136" customHeight="1">
      <c r="A74" s="2" t="n">
        <v>73</v>
      </c>
      <c r="B74" s="2" t="inlineStr">
        <is>
          <t>R1413</t>
        </is>
      </c>
      <c r="C74" s="3" t="n"/>
      <c r="D74" s="3" t="n"/>
      <c r="E74" s="3" t="n"/>
      <c r="F74" s="2" t="n">
        <v>2016</v>
      </c>
      <c r="G74" s="2" t="inlineStr">
        <is>
          <t>Comparative Study; Journal Article</t>
        </is>
      </c>
      <c r="H74" s="2" t="inlineStr">
        <is>
          <t>Perspectives in health information management</t>
        </is>
      </c>
      <c r="I74" s="2" t="inlineStr">
        <is>
          <t>Implementation and Impact of Psychiatric Electronic Medical Records in a Public Medical Center.</t>
        </is>
      </c>
      <c r="J74" s="2" t="inlineStr">
        <is>
          <t>OBJECTIVES: This study describes the efforts to implement electronic charting in a large public psychiatric outpatient clinic with the objective to improve clinical documentation. METHODS: Data made available through the quality review process are utilized to evaluate the effectiveness of the electronic intervention. The study is a comparative analysis of the three years before and three years after the point of implementation of electronic charting. RESULTS: Statistical analyses indicate significant findings (p &lt;.0001) in the comparison of the periods before and after implementation in terms of note completion and documentation of medication management, supporting the study's hypothesis that electronic intervention will improve the quality of clinical documentation. CONCLUSIONS: This study contributes new knowledge to improve our understanding of the barriers and benefits of implementing and maintaining electronic charting in mental health settings.</t>
        </is>
      </c>
      <c r="K74" s="2" t="n"/>
      <c r="L74" s="2" t="n"/>
      <c r="M74" s="2" t="n"/>
    </row>
    <row r="75" ht="84" customHeight="1">
      <c r="A75" s="2" t="n">
        <v>74</v>
      </c>
      <c r="B75" s="2" t="inlineStr">
        <is>
          <t>R0819</t>
        </is>
      </c>
      <c r="C75" s="3" t="n"/>
      <c r="D75" s="3" t="n"/>
      <c r="E75" s="3" t="n"/>
      <c r="F75" s="2" t="n">
        <v>2019</v>
      </c>
      <c r="G75" s="2" t="inlineStr">
        <is>
          <t>Journal Article</t>
        </is>
      </c>
      <c r="H75" s="2" t="inlineStr">
        <is>
          <t>Studies in health technology and informatics</t>
        </is>
      </c>
      <c r="I75" s="2" t="inlineStr">
        <is>
          <t>Rapid-Cycle Implementation of a Multi-Organization Registry for Heart Failure with Preserved Ejection Fraction Using Health Information Exchange Standards.</t>
        </is>
      </c>
      <c r="J75" s="2" t="inlineStr">
        <is>
          <t>Constructing multi-site specialty registries typically proves time-consuming. Electronic health record (EHR) data collected during clinical care affords a pragmatic approach to accelerating registry implementation. Heart failure with preserved ejection fraction (HFpEF) is an increasingly common and morbid condition. Building a multi-site registry for HFpEF proved feasible using EHR data coded in standard terminologies (SNOMED CT, LOINC) and shared via Health Information Exchanges.</t>
        </is>
      </c>
      <c r="K75" s="2" t="n"/>
      <c r="L75" s="2" t="n"/>
      <c r="M75" s="4" t="inlineStr">
        <is>
          <t>https://doi.org/10.3233/SHTI190534</t>
        </is>
      </c>
    </row>
    <row r="76" ht="240" customHeight="1">
      <c r="A76" s="2" t="n">
        <v>75</v>
      </c>
      <c r="B76" s="2" t="inlineStr">
        <is>
          <t>R0309</t>
        </is>
      </c>
      <c r="C76" s="3" t="n"/>
      <c r="D76" s="3" t="n"/>
      <c r="E76" s="3" t="n"/>
      <c r="F76" s="2" t="n">
        <v>2025</v>
      </c>
      <c r="G76" s="2" t="inlineStr">
        <is>
          <t>Journal Article</t>
        </is>
      </c>
      <c r="H76" s="2" t="inlineStr">
        <is>
          <t>Advances in simulation (London, England)</t>
        </is>
      </c>
      <c r="I76" s="2" t="inlineStr">
        <is>
          <t>Human factors and systems simulation methods to optimize peri-operative EHR design and implementation.</t>
        </is>
      </c>
      <c r="J76" s="2" t="inlineStr">
        <is>
          <t>The increase in adoption of Electronic Health records (EHR) in healthcare can be overwhelming to users and pose hidden safety threats and inefficiencies if the system is not well aligned with workflows. This quality improvement study, facilitated from September 2023-April 2024, aimed to proactively test a new EHR using systems focused simulation and Human factors methods, prior to go-live, in a peri-operative children's hospital setting to improve safety, efficiency and usability of the EHR. The project was conducted at a large, academic, quaternary care children's hospital undergoing a transition from one EHR to another. Two cycles of usability testing followed by in situ simulations focused on testing the new EHR with interprofessional peri-operative team members prior to go live. Usability testing, using relevant clinical workflows, was completed over zoom using the EHR "testing" environment with individual care providers across multiple peri-operative roles. In situ simulations were facilitated in the actual peri-operative and Otolaryngology clinic spaces with full interprofessional teams. Qualitative data was collected and summarized through debriefing and recordings of the sessions. Human factors and patient safety principles were integrated throughout the recommendations. A total of 475 recommendations were made to improve the safety, efficiency, usability, and optimization of the EHR. The outcomes included a range of usability and system issues including latent safety threats and their impact on safe and quality patient care. There was a plethora of usability improvements, including some critical issues that were uncovered and mitigated prior to the go live date.</t>
        </is>
      </c>
      <c r="K76" s="2" t="n"/>
      <c r="L76" s="2" t="n"/>
      <c r="M76" s="4" t="inlineStr">
        <is>
          <t>https://doi.org/10.1186/s41077-025-00349-z</t>
        </is>
      </c>
    </row>
    <row r="77" ht="266" customHeight="1">
      <c r="A77" s="2" t="n">
        <v>76</v>
      </c>
      <c r="B77" s="2" t="inlineStr">
        <is>
          <t>R0815</t>
        </is>
      </c>
      <c r="C77" s="3" t="n"/>
      <c r="D77" s="3" t="n"/>
      <c r="E77" s="3" t="n"/>
      <c r="F77" s="2" t="n">
        <v>2026</v>
      </c>
      <c r="G77" s="2" t="inlineStr">
        <is>
          <t>Journal Article; Review; Systematic Review</t>
        </is>
      </c>
      <c r="H77" s="2" t="inlineStr">
        <is>
          <t>Journal of nursing management</t>
        </is>
      </c>
      <c r="I77" s="2" t="inlineStr">
        <is>
          <t>When Tech Meets Touch: Multistakeholder Perspectives and Implementation Strategies for eHealth in Chronic Kidney Disease: A Systematic Review Using Computational Linguistics.</t>
        </is>
      </c>
      <c r="J77" s="2" t="inlineStr">
        <is>
          <t>BACKGROUND: Chronic kidney disease heavily burdens patients and health systems. Digital health interventions offer significant potential but face implementation challenges driven by stakeholders' emotional and practical experiences. This review synthesizes these affective dimensions to inform clinical practice. METHODS: A qualitative systematic review was conducted across six databases for studies published through April 2025. Methodological quality was rigorously appraised. We integrated Python-based computational sentiment analysis to quantify stakeholder emotional polarity (positive, negative, neutral) with thematic analysis. Identified barriers were mapped to established implementation frameworks to select expert-validated implementation strategies. RESULTS: Twenty-three qualitative studies were included, revealing five domains: accessibility, communication, workflow, empowerment, and clinical effectiveness. Patients praised digital empowerment but highlighted socioeconomic access barriers. Nurses valued workflow efficiencies but reported role ambiguity. Clinicians expressed deep skepticism toward remote clinical effectiveness due to diagnostic limitations. To resolve these tensions, prioritized implementation strategies include identifying clinical champions, promoting intervention adaptability, and systematically assessing organizational readiness before deployment. CONCLUSION: Stakeholder emotions critically dictate digital health adoption. For clinical practice, these findings emphasize moving beyond generic deployments. Healthcare systems must address clinician diagnostic concerns via hybrid care models, resolve nurse workflow ambiguities through targeted training, and provide low-cost devices to bridge patient equity gaps. Tailoring solutions to these psychosocial needs is essential for successful integration into routine kidney care.</t>
        </is>
      </c>
      <c r="K77" s="2" t="n"/>
      <c r="L77" s="2" t="n"/>
      <c r="M77" s="4" t="inlineStr">
        <is>
          <t>https://doi.org/10.1155/jonm/7612011</t>
        </is>
      </c>
    </row>
    <row r="78" ht="227" customHeight="1">
      <c r="A78" s="2" t="n">
        <v>77</v>
      </c>
      <c r="B78" s="2" t="inlineStr">
        <is>
          <t>R1439</t>
        </is>
      </c>
      <c r="C78" s="3" t="n"/>
      <c r="D78" s="3" t="n"/>
      <c r="E78" s="3" t="n"/>
      <c r="F78" s="2" t="n">
        <v>2018</v>
      </c>
      <c r="G78" s="2" t="inlineStr">
        <is>
          <t>Journal Article</t>
        </is>
      </c>
      <c r="H78" s="2" t="inlineStr">
        <is>
          <t>The American journal of cardiology</t>
        </is>
      </c>
      <c r="I78" s="2" t="inlineStr">
        <is>
          <t>Implementation of Best Practice Alert in an Electronic Medical Record to Limit Lower-Value Inpatient Echocardiograms.</t>
        </is>
      </c>
      <c r="J78" s="2" t="inlineStr">
        <is>
          <t>There are increasing efforts nationally and at our institution to reduce lower-value care, including some use of imaging studies such as transthoracic echocardiography (TTE). In an effort to avoid repeating unnecessary studies on inpatients who recently underwent TTE, we implemented a best practice alert (BPA) in our electronic health record to notify ordering clinicians that a TTE had been performed in the past 6 months. The BPA requires the ordering clinician to acknowledge the alert and provide a reason for proceeding with the order and provides a link to ASE AUC criteria. Data on initial use were reviewed after approximately 6 months (February 16, 2017 to September 12, 2017.) This included review of the number of TTE orders removed, number reordered within the same day, subspecialty of ordering clinician, type of ordering clinician (MD vs NP, and so on), and length of stay in patients with orders that were confirmed versus removed. Independent t tests, Chi-square, and Fisher's exact tests were used for analysis. Over 209 days, the BPA triggered 3,226 times with 20% of these TTEs cancelled by the ordering clinician and remaining cancelled after 24 hours. There were no statistically significant differences in the proportion of removed TTE orders between subspecialties or types of clinician (p = 0.144.) There was no statistically significant difference in the length of stay in patients with orders kept (9.2 days) compared with orders cancelled (10.5 days). An electronic health record alert triggered by an order for an inpatient TTE within 6 months of a previous study effectively reduced study volume by 20%.</t>
        </is>
      </c>
      <c r="K78" s="2" t="n"/>
      <c r="L78" s="2" t="n"/>
      <c r="M78" s="4" t="inlineStr">
        <is>
          <t>https://doi.org/10.1016/j.amjcard.2018.07.017</t>
        </is>
      </c>
    </row>
    <row r="79" ht="188" customHeight="1">
      <c r="A79" s="2" t="n">
        <v>78</v>
      </c>
      <c r="B79" s="2" t="inlineStr">
        <is>
          <t>R0438</t>
        </is>
      </c>
      <c r="C79" s="3" t="n"/>
      <c r="D79" s="3" t="n"/>
      <c r="E79" s="3" t="n"/>
      <c r="F79" s="2" t="n">
        <v>2021</v>
      </c>
      <c r="G79" s="2" t="inlineStr">
        <is>
          <t>Journal Article; Research Support, Non-U.S. Gov't</t>
        </is>
      </c>
      <c r="H79" s="2" t="inlineStr">
        <is>
          <t>International journal of medical informatics</t>
        </is>
      </c>
      <c r="I79" s="2" t="inlineStr">
        <is>
          <t>Challenges in user-driven optimization of EHR: A case study of a large Epic implementation in Denmark.</t>
        </is>
      </c>
      <c r="J79" s="2" t="inlineStr">
        <is>
          <t>BACKGROUND: Research suggests that capturing the benefits of electronic health records (EHR) requires systematic and ongoing optimization of technology configuration and use after implementation. However, little is known about EHR optimization in a hospital context. OBJECTIVE: To explore the issues and challenges involved in organizing and managing a systematic user-driven EHR optimization program. METHODS: A longitudinal case study of an EHR optimization program launched in two large Danish hospital systems was undertaken. It involved interviewing 28 key managers, clinicians and IT staff, participating in formal and informal meetings, and reviewing policy documents, meeting minutes, teaching materials and other relevant documents. FINDINGS: The two hospital systems are struggling to find the best way to organize and manage the optimization program. So far, the program has been a mixed success. Involving clinicians in EHR optimization poses serious dilemmas for hospital managers, who must manage two related tensions: between standardization and adaptation, and between centralized control and local autonomy. CONCLUSION: The findings highlight the significant challenges in designing a successful EHR optimization program and underscore the importance of developing more sophisticated strategies for clinical standardization and innovation.</t>
        </is>
      </c>
      <c r="K79" s="2" t="n"/>
      <c r="L79" s="2" t="n"/>
      <c r="M79" s="4" t="inlineStr">
        <is>
          <t>https://doi.org/10.1016/j.ijmedinf.2021.104394</t>
        </is>
      </c>
    </row>
    <row r="80" ht="240" customHeight="1">
      <c r="A80" s="2" t="n">
        <v>79</v>
      </c>
      <c r="B80" s="2" t="inlineStr">
        <is>
          <t>R0850</t>
        </is>
      </c>
      <c r="C80" s="3" t="n"/>
      <c r="D80" s="3" t="n"/>
      <c r="E80" s="3" t="n"/>
      <c r="F80" s="2" t="n">
        <v>2024</v>
      </c>
      <c r="G80" s="2" t="inlineStr">
        <is>
          <t>Journal Article; Research Support, Non-U.S. Gov't</t>
        </is>
      </c>
      <c r="H80" s="2" t="inlineStr">
        <is>
          <t>The Indian journal of medical research</t>
        </is>
      </c>
      <c r="I80" s="2" t="inlineStr">
        <is>
          <t>Perception towards electronic health records &amp; uptake of digital health IDs among the urban residents in northern India: A mixed methods study.</t>
        </is>
      </c>
      <c r="J80" s="2" t="inlineStr">
        <is>
          <t>Background &amp; objectives Ayushman Bharat Digital Mission (ABDM) envisages a unique digital health ID for all citizens of India, to create electronic health records (EHR) of individuals. The present study assessed the uptake of Digital Health IDs by the patient and general population, their attitude toward EHR, and explored the barriers to digital ID and utilizing electronic health records services. Methods A concurrent explanatory mixed methods study was undertaken in Chandigarh, India, with an analytical cross-sectional design as a quantitative part and a qualitative descriptive study. The study participants were 419 individuals aged ≥18 yr who attended the urban primary healthcare centre (n=399) and the community-based screening camps (n=20) between July 2021 and January 2022. Latent Class Analysis (LCA) was undertaken to identify hidden sub-population characteristics. In-depth interviews were done to identify the barriers to health ID uptake. Results The digital health ID uptake rate was 78 per cent (n=327). Among the study participants, those who were aware of EHR, those who wanted a national EHR system, those who were confident with the government on EHR security, and those who were willing to make national EHR accessible for research showed significantly higher digital health ID uptake than their counterparts. The themes identified under barriers of uptake from the qualitative interviews were lack of awareness, technology-related (including digital literacy) and utility-related. Interpretation &amp; conclusions Increasing EHR awareness, digital health literacy, and enacting data protection laws may improve the acceptance of the digital health ecosystem in India.</t>
        </is>
      </c>
      <c r="K80" s="2" t="n"/>
      <c r="L80" s="2" t="n"/>
      <c r="M80" s="4" t="inlineStr">
        <is>
          <t>https://doi.org/10.25259/ijmr_664_23</t>
        </is>
      </c>
    </row>
    <row r="81" ht="266" customHeight="1">
      <c r="A81" s="2" t="n">
        <v>80</v>
      </c>
      <c r="B81" s="2" t="inlineStr">
        <is>
          <t>R1415</t>
        </is>
      </c>
      <c r="C81" s="3" t="n"/>
      <c r="D81" s="3" t="n"/>
      <c r="E81" s="3" t="n"/>
      <c r="F81" s="2" t="n">
        <v>2019</v>
      </c>
      <c r="G81" s="2" t="inlineStr">
        <is>
          <t>Journal Article</t>
        </is>
      </c>
      <c r="H81" s="2" t="inlineStr">
        <is>
          <t>JAMIA open</t>
        </is>
      </c>
      <c r="I81" s="2" t="inlineStr">
        <is>
          <t>Electronic medical record implementation for a healthcare system caring for homeless people.</t>
        </is>
      </c>
      <c r="J81" s="2" t="inlineStr">
        <is>
          <t>OBJECTIVE: Electronic medical record (EMR) implementation at centers caring for homeless people is constrained by limited resources and the increased disease burden of the patient population. Few informatics articles address this issue. This report describes Boston Health Care for the Homeless Program's migration to new EMR software without loss of unique care elements and processes. MATERIALS AND METHODS: Workflows for clinical and operational functions were analyzed and modeled, focusing particularly on resource constraints and comorbidities. Workflows were optimized, standardized, and validated before go-live by user groups who provided design input. Software tools were configured to support optimized workflows. Customization was minimal. Training used the optimized configuration in a live training environment allowing users to learn and use the software before go-live. RESULTS: Implementation was rapidly accomplished over 6 months. Productivity was reduced at most minimally over the initial 3 months. During the first full year, quality indicator levels were maintained. Keys to success were completing before go-live workflow analysis, workflow mapping, building of documentation templates, creation of screen shot guides, role-based phased training, and standardization of processes. Change management strategies were valuable. The early availability of a configured training environment was essential. With this methodology, the software tools were chosen and workflows optimized that addressed the challenges unique to caring for homeless people. CONCLUSIONS: Successful implementation of an EMR to care for homeless people was achieved through detailed workflow analysis, optimizing and standardizing workflows, configuring software, and initiating training all well before go-live. This approach was particularly suitable for a homeless population.</t>
        </is>
      </c>
      <c r="K81" s="2" t="n"/>
      <c r="L81" s="2" t="n"/>
      <c r="M81" s="4" t="inlineStr">
        <is>
          <t>https://doi.org/10.1093/jamiaopen/ooy046</t>
        </is>
      </c>
    </row>
    <row r="82" ht="149" customHeight="1">
      <c r="A82" s="2" t="n">
        <v>81</v>
      </c>
      <c r="B82" s="2" t="inlineStr">
        <is>
          <t>R0988</t>
        </is>
      </c>
      <c r="C82" s="3" t="n"/>
      <c r="D82" s="3" t="n"/>
      <c r="E82" s="3" t="n"/>
      <c r="F82" s="2" t="n">
        <v>2022</v>
      </c>
      <c r="G82" s="2" t="inlineStr">
        <is>
          <t>Case Reports; Journal Article</t>
        </is>
      </c>
      <c r="H82" s="2" t="inlineStr">
        <is>
          <t>Healthcare (Amsterdam, Netherlands)</t>
        </is>
      </c>
      <c r="I82" s="2" t="inlineStr">
        <is>
          <t>Implementation of a Medication Reconciliation Risk Stratification Tool Integrated within an electronic health record: A Case Series of Three Academic Medical Centers.</t>
        </is>
      </c>
      <c r="J82" s="2" t="inlineStr">
        <is>
          <t>Medication errors during transitions of care are common, dangerous and costly. Medication reconciliation can help mitigate this risk, but it is a complex and time-consuming process when performed properly. Increasingly, pharmacy staff have been engaged to help improve medication reconciliation. However, many organizations lack the resources and staff required to perform accurate medication histories and other reconciliation tasks on all patients. We describe how three academic medical centers implemented risk scoring systems to allocate limited pharmacy resources to patients with the highest likelihood of medication reconciliation related errors. We found that (1) development of a tailored medication risk scoring system and integration into the electronic health record is feasible, (2) workflow around the risk calculator is critical to the success of the implementation, and (3) the complex coordination of professional disciplines during the medication reconciliation process remains an ongoing challenge at all three institutions.</t>
        </is>
      </c>
      <c r="K82" s="2" t="n"/>
      <c r="L82" s="2" t="n"/>
      <c r="M82" s="4" t="inlineStr">
        <is>
          <t>https://doi.org/10.1016/j.hjdsi.2022.100654</t>
        </is>
      </c>
    </row>
    <row r="83" ht="227" customHeight="1">
      <c r="A83" s="2" t="n">
        <v>82</v>
      </c>
      <c r="B83" s="2" t="inlineStr">
        <is>
          <t>R0546</t>
        </is>
      </c>
      <c r="C83" s="3" t="n"/>
      <c r="D83" s="3" t="n"/>
      <c r="E83" s="3" t="n"/>
      <c r="F83" s="2" t="n">
        <v>2018</v>
      </c>
      <c r="G83" s="2" t="inlineStr">
        <is>
          <t>Journal Article</t>
        </is>
      </c>
      <c r="H83" s="2" t="inlineStr">
        <is>
          <t>Journal of the American Medical Informatics Association : JAMIA</t>
        </is>
      </c>
      <c r="I83" s="2" t="inlineStr">
        <is>
          <t>Analysis of the effects of EHR implementation on timeliness of care in a dermatology clinic: a simulation study.</t>
        </is>
      </c>
      <c r="J83" s="2" t="inlineStr">
        <is>
          <t>OBJECTIVE: Quantify the downstream impact on patient wait times and overall length of stay due to small increases in encounter times caused by the implementation of a new electronic health record (EHR) system. METHODS: A discrete-event simulation model was created to examine the effects of increasing the provider-patient encounter time by 1, 2, 5, or 10 min, due to an increase in in-room documentation as part of an EHR implementation. Simulation parameters were constructed from an analysis of 52 000 visits from a scheduling database and direct observation of 93 randomly selected patients to collect all the steps involved in an outpatient dermatology patient care visit. RESULTS: Analysis of the simulation results demonstrates that for a clinic session with an average booking appointment length of 15 min, the addition of 1, 2, 5, and 10 min for in-room physician documentation with an EHR system would result in a 5.2 (22%), 9.8 (41%), 31.8 (136%), and 87.2 (373%) minute increase in average patient wait time, and a 6.2 (12%), 11.7 (23%), 36.7 (73%), and 96.9 (193%) minute increase in length of stay, respectively. To offset the additional 1, 2, 5, or 10 min, patient volume would need to decrease by 10%, 20%, 40%, and &gt;50%, respectively. CONCLUSIONS: Small changes to processes, such as the addition of a few minutes of extra documentation time in the exam room, can cause significant delays in the timeliness of patient care. Simulation models can assist in quantifying the downstream effects and help analyze the impact of these operational changes.</t>
        </is>
      </c>
      <c r="K83" s="2" t="n"/>
      <c r="L83" s="2" t="n"/>
      <c r="M83" s="4" t="inlineStr">
        <is>
          <t>https://doi.org/10.1093/jamia/ocy024</t>
        </is>
      </c>
    </row>
    <row r="84" ht="71" customHeight="1">
      <c r="A84" s="2" t="n">
        <v>83</v>
      </c>
      <c r="B84" s="2" t="inlineStr">
        <is>
          <t>R1214</t>
        </is>
      </c>
      <c r="C84" s="3" t="n"/>
      <c r="D84" s="3" t="n"/>
      <c r="E84" s="3" t="n"/>
      <c r="F84" s="2" t="n">
        <v>2019</v>
      </c>
      <c r="G84" s="2" t="inlineStr">
        <is>
          <t>Letter</t>
        </is>
      </c>
      <c r="H84" s="2" t="inlineStr">
        <is>
          <t>Omics : a journal of integrative biology</t>
        </is>
      </c>
      <c r="I84" s="2" t="inlineStr">
        <is>
          <t>Hypothesis: Is "Terminator Syndrome" a Barrier to Democratizing Artificial Intelligence and Public Engagement in Digital Health?</t>
        </is>
      </c>
      <c r="J84" s="2" t="inlineStr">
        <is>
          <t>[no abstract - screen on title, venue, and document type]</t>
        </is>
      </c>
      <c r="K84" s="2" t="n"/>
      <c r="L84" s="2" t="n"/>
      <c r="M84" s="4" t="inlineStr">
        <is>
          <t>https://doi.org/10.1089/omi.2019.0070</t>
        </is>
      </c>
    </row>
    <row r="85" ht="58" customHeight="1">
      <c r="A85" s="2" t="n">
        <v>84</v>
      </c>
      <c r="B85" s="2" t="inlineStr">
        <is>
          <t>R0512</t>
        </is>
      </c>
      <c r="C85" s="3" t="n"/>
      <c r="D85" s="3" t="n"/>
      <c r="E85" s="3" t="n"/>
      <c r="F85" s="2" t="n">
        <v>2023</v>
      </c>
      <c r="G85" s="2" t="inlineStr">
        <is>
          <t>Journal Article</t>
        </is>
      </c>
      <c r="H85" s="2" t="inlineStr">
        <is>
          <t>Age and ageing</t>
        </is>
      </c>
      <c r="I85" s="2" t="inlineStr">
        <is>
          <t>Long-term care needs guidance for the implementation of digital health technologies.</t>
        </is>
      </c>
      <c r="J85" s="2" t="inlineStr">
        <is>
          <t>[no abstract - screen on title, venue, and document type]</t>
        </is>
      </c>
      <c r="K85" s="2" t="n"/>
      <c r="L85" s="2" t="n"/>
      <c r="M85" s="4" t="inlineStr">
        <is>
          <t>https://doi.org/10.1093/ageing/afad223</t>
        </is>
      </c>
    </row>
    <row r="86" ht="253" customHeight="1">
      <c r="A86" s="2" t="n">
        <v>85</v>
      </c>
      <c r="B86" s="2" t="inlineStr">
        <is>
          <t>R0175</t>
        </is>
      </c>
      <c r="C86" s="3" t="n"/>
      <c r="D86" s="3" t="n"/>
      <c r="E86" s="3" t="n"/>
      <c r="F86" s="2" t="n">
        <v>2022</v>
      </c>
      <c r="G86" s="2" t="inlineStr">
        <is>
          <t>Journal Article; Research Support, Non-U.S. Gov't</t>
        </is>
      </c>
      <c r="H86" s="2" t="inlineStr">
        <is>
          <t>International journal for equity in health</t>
        </is>
      </c>
      <c r="I86" s="2" t="inlineStr">
        <is>
          <t>Placing equity at the heart of eHealth implementation: a qualitative pilot study.</t>
        </is>
      </c>
      <c r="J86" s="2" t="inlineStr">
        <is>
          <t>BACKGROUND: There is a growing urgency to tackle issues of equity and justice in the implementation of eHealth technologies. METHODS: Qualitative interviews were conducted with 19 multidisciplinary health professionals to explore the implementation and uptake of eHealth technologies in practice. The aim of this article was to examine in more detail issues of equity and justice in the implementation and uptake of eHealth technologies in practice. Results were analysed using Braun and Clarke's six-step reflexive thematic analysis approach. RESULTS: Nancy Fraser's concept of social justice is introduced as a novel framework for inquiry into the implementation of digital health services. Health professionals reported that eHealth offered their clients a greater sense of safety, convenience, and flexibility, allowing them to determine the nature and pace of their healthcare, and giving them more control over their treatment and recovery. However, they also expressed concerns about the use of eHealth with clients whose home environment is unsafe. Application of Fraser's framework revealed that eHealth technologies may not always provide a secure clinical space in which the voices of vulnerable clients can be recognised and heard. It also highlighted critical systemic and cultural barriers that hinder the representation of clients' voices in the decision to use eHealth technologies and perpetuate inequalities in the distribution of eHealth services. CONCLUSIONS: To facilitate broad participation, eHealth tools need to be adaptable to the needs and circumstances of diverse groups. Future implementation science efforts must also be directed at identifying and addressing the underlying structures that hinder equitable recognition, representation, and distribution in the implementation of eHealth resources.</t>
        </is>
      </c>
      <c r="K86" s="2" t="n"/>
      <c r="L86" s="2" t="n"/>
      <c r="M86" s="4" t="inlineStr">
        <is>
          <t>https://doi.org/10.1186/s12939-022-01640-5</t>
        </is>
      </c>
    </row>
    <row r="87" ht="240" customHeight="1">
      <c r="A87" s="2" t="n">
        <v>86</v>
      </c>
      <c r="B87" s="2" t="inlineStr">
        <is>
          <t>R1659</t>
        </is>
      </c>
      <c r="C87" s="3" t="n"/>
      <c r="D87" s="3" t="n"/>
      <c r="E87" s="3" t="n"/>
      <c r="F87" s="2" t="n">
        <v>2024</v>
      </c>
      <c r="G87" s="2" t="inlineStr">
        <is>
          <t>IEEE Conferences</t>
        </is>
      </c>
      <c r="H87" s="2" t="inlineStr">
        <is>
          <t>2024 IEEE 12th International Conference on Healthcare Informatics (ICHI)</t>
        </is>
      </c>
      <c r="I87" s="2" t="inlineStr">
        <is>
          <t>Evaluating Academic Performance in Health Informatics Post-EHR Implementation</t>
        </is>
      </c>
      <c r="J87" s="2" t="inlineStr">
        <is>
          <t>The increasing prevalence of Electronic Health Records (EHR) in healthcare necessitates incorporating EHR familiarity into health informatics curricula. This study investigated the impact of integrating OpenEMR, an open-source EHR system, into the health informatics curriculum at Indiana University Indianapolis. Employing a pre-post design, the study examined changes in student engagement, assignment performance, and final grades across four courses: Clinical Information Systems, Clinical Decision Support Systems, Medical Terminology, and Database Design for HIM, comparing outcomes before (Fall 2022) and after OpenEMR implementation (Spring, Summer, and Fall 2023). Due to the non-normal data distribution, a Mann-Whitney U test was employed for statistical analysis. The findings revealed a multifaceted impact of OpenEMR, with notable improvements in EHR-specific assessments, despite statistically insignificant change in overall course grades. These results highlight the complexities of incorporating practical EHR experiences into curricula, demonstrating the nuanced effects of OpenEMR on enhancing student competencies. However, the study's limited participant diversity, characterized by a high proportion of international students from clinical educational backgrounds, underscores the necessity for further research encompassing a more heterogeneous sample. This sample should include individuals with backgrounds in technology and business management, in addition to those with clinical education, to ensure the generalizability of the findings. This study provides valuable insights for curriculum development and preparing students for the global healthcare landscape.</t>
        </is>
      </c>
      <c r="K87" s="2" t="n"/>
      <c r="L87" s="2" t="n"/>
      <c r="M87" s="4" t="inlineStr">
        <is>
          <t>https://doi.org/10.1109/ICHI61247.2024.00118</t>
        </is>
      </c>
    </row>
    <row r="88" ht="370" customHeight="1">
      <c r="A88" s="2" t="n">
        <v>87</v>
      </c>
      <c r="B88" s="2" t="inlineStr">
        <is>
          <t>R1140</t>
        </is>
      </c>
      <c r="C88" s="3" t="n"/>
      <c r="D88" s="3" t="n"/>
      <c r="E88" s="3" t="n"/>
      <c r="F88" s="2" t="n">
        <v>2018</v>
      </c>
      <c r="G88" s="2" t="inlineStr">
        <is>
          <t>Journal Article</t>
        </is>
      </c>
      <c r="H88" s="2" t="inlineStr">
        <is>
          <t>JMIR perioperative medicine</t>
        </is>
      </c>
      <c r="I88" s="2" t="inlineStr">
        <is>
          <t>Implementation of an Enhanced Recovery Pathway for Minimally Invasive Pectus Surgery: A Population-Based Cohort Study Evaluating Short- and Long-Term Outcomes Using eHealth Technology.</t>
        </is>
      </c>
      <c r="J88" s="2" t="inlineStr">
        <is>
          <t>BACKGROUND: Pectus excavatum and pectus carinatum are the most common chest wall deformities. Although minimally invasive correction (minimally invasive repair of pectus, MIRP) has become common practice, it remains associated with severe postoperative pain. Preoperative psychosocial factors such as anxiety and low self-esteem can increase postsurgical pain. Early detection of psychological symptoms, effective biopsychosocial perioperative management of patients, and prevention of pain chronification using an enhanced recovery pathway (ERP) may improve outcomes. However, the incidence of the latter is poorly described in adolescents undergoing MIRP. OBJECTIVE: The objective of our study was to evaluate the implementation of an ERP containing early recovery goals and to assess persistent postsurgical pain 3 months postoperatively in pediatric patients undergoing MIRP. The ERP consists of a Web-based platform containing psychological screening questionnaires and extensive telemonitoring for follow-up of patients at home. METHODS: A population-based cohort study was conducted with prospectively collected data from patients undergoing pectus surgery between June 2017 and December 2017. An ERP was initiated preoperatively; it included patient education, electronic health-based psychological screening, multimodal pre-emptive analgesia, nausea prophylaxis as well as early Foley catheter removal and respiratory exercises. After hospital discharge, patients were followed up to 10 weeks using a Web-based diary evaluating pain and sleep quality, while their rehabilitation progress was monitored via Bluetooth-connected telemonitoring devices. RESULTS: We enrolled 29 adolescents using the developed ERP. Pre-emptive multimodal analgesia pain rating scores were low at hospital admission. Optimal epidural placement, defined by T8-9 or T9-10, occurred in 90% (26/29) of the participants; thus, no motor block or Horner syndrome occurred. Mean bladder catheterization duration was 3.41 (SD 1.50) days in ERP patients. Numeric rating scale (NRS) scores for pain and the incidence of nausea were low, contributing to a fluent rehabilitation. Mean NRS scores were 2.58 (SD 1.77) on postoperative day (POD) 1, 2.48 (SD 1.66) on POD 2, and 3.14 (SD 1.98) on POD 3 in ERP-treated patients. Telemonitoring at home was feasible in adolescents after hospital discharge despite adherence difficulties. Although the pain scores at the final interview were low (0.81 [SD 1.33]), 33% (9/27) long-term follow-up ERP patients still experienced frequent disturbing thoracic pain, requiring analgesic administration, school absenteeism, and multiple doctor (re)visits. [continues in next column]</t>
        </is>
      </c>
      <c r="K88" s="2" t="inlineStr">
        <is>
          <t>CONCLUSIONS: Allocating patients to the appropriate level of care preoperatively and immediately postoperatively may improve long-term outcome variables. Internet-based technologies and feasible, objective monitoring tools can help clinicians screen surgical patients for risk factors and initiate early treatment when indicated. Future research should focus on improving risk stratification and include a psychological assessment and evaluation of the effect of perioperative care pathways in children undergoing major surgery. TRIAL REGISTRATION: ClinicalTrials.gov NCT03100669; https://clinicaltrials.gov/ct2/show/NCT03100669 (Archived by WebCite at http://www.webcitation.org/72qLB1ADX).</t>
        </is>
      </c>
      <c r="L88" s="2" t="n"/>
      <c r="M88" s="4" t="inlineStr">
        <is>
          <t>https://doi.org/10.2196/10996</t>
        </is>
      </c>
    </row>
    <row r="89" ht="84" customHeight="1">
      <c r="A89" s="2" t="n">
        <v>88</v>
      </c>
      <c r="B89" s="2" t="inlineStr">
        <is>
          <t>R1381</t>
        </is>
      </c>
      <c r="C89" s="3" t="n"/>
      <c r="D89" s="3" t="n"/>
      <c r="E89" s="3" t="n"/>
      <c r="F89" s="2" t="n">
        <v>2015</v>
      </c>
      <c r="G89" s="2" t="inlineStr">
        <is>
          <t>Journal Article</t>
        </is>
      </c>
      <c r="H89" s="2" t="inlineStr">
        <is>
          <t>Missouri medicine</t>
        </is>
      </c>
      <c r="I89" s="2" t="inlineStr">
        <is>
          <t>Effective implementation of electronic medical records and health information technologies.</t>
        </is>
      </c>
      <c r="J89" s="2" t="inlineStr">
        <is>
          <t>Information technology (IT) capabilities are necessary for realizing the full promise of health information technologies in improving health care delivery process. In this study, three key IT capabilities for health care organizations are identified and their relationship with 30-day mortality rate from heart attack examined in a national sample of U.S. hospitals. The findings indicate that the negative relationship of IT capabilities with mortality rate from heart attack is mediated by effort/flexibility putforth by health care workers.</t>
        </is>
      </c>
      <c r="K89" s="2" t="n"/>
      <c r="L89" s="2" t="n"/>
      <c r="M89" s="2" t="n"/>
    </row>
    <row r="90" ht="58" customHeight="1">
      <c r="A90" s="2" t="n">
        <v>89</v>
      </c>
      <c r="B90" s="2" t="inlineStr">
        <is>
          <t>R0441</t>
        </is>
      </c>
      <c r="C90" s="3" t="n"/>
      <c r="D90" s="3" t="n"/>
      <c r="E90" s="3" t="n"/>
      <c r="F90" s="2" t="n">
        <v>2024</v>
      </c>
      <c r="G90" s="2" t="inlineStr">
        <is>
          <t>Journal Article</t>
        </is>
      </c>
      <c r="H90" s="2" t="inlineStr">
        <is>
          <t>Biomedical engineering and computational biology</t>
        </is>
      </c>
      <c r="I90" s="2" t="inlineStr">
        <is>
          <t>Correspondence to "Conceptualizing Patient as an Organization with the Adoption of Digital Health".</t>
        </is>
      </c>
      <c r="J90" s="2" t="inlineStr">
        <is>
          <t>[no abstract - screen on title, venue, and document type]</t>
        </is>
      </c>
      <c r="K90" s="2" t="n"/>
      <c r="L90" s="2" t="n"/>
      <c r="M90" s="4" t="inlineStr">
        <is>
          <t>https://doi.org/10.1177/11795972241293514</t>
        </is>
      </c>
    </row>
    <row r="91" ht="162" customHeight="1">
      <c r="A91" s="2" t="n">
        <v>90</v>
      </c>
      <c r="B91" s="2" t="inlineStr">
        <is>
          <t>R0388</t>
        </is>
      </c>
      <c r="C91" s="3" t="n"/>
      <c r="D91" s="3" t="n"/>
      <c r="E91" s="3" t="n"/>
      <c r="F91" s="2" t="n">
        <v>2019</v>
      </c>
      <c r="G91" s="2" t="inlineStr">
        <is>
          <t>Journal Article</t>
        </is>
      </c>
      <c r="H91" s="2" t="inlineStr">
        <is>
          <t>The Journal of nursing administration</t>
        </is>
      </c>
      <c r="I91" s="2" t="inlineStr">
        <is>
          <t>The Role of Nurse Managers in the Adoption of Health Information Technology: Findings From a Qualitative Study.</t>
        </is>
      </c>
      <c r="J91" s="2" t="inlineStr">
        <is>
          <t>OBJECTIVE: This study aims to investigate the role of nurse managers in supporting point-of-care nurses' health information technology (IT) use and identify strategies employed by nurse managers to improve adoption, while also gathering point-of-care nurses' perceptions of these strategies. BACKGROUND: Nurse managers are essential in facilitating point-of-care nurses' use of health IT; however, the underlying phenomenon for this facilitation remains unreported. METHODS: A qualitative descriptive study was conducted with 10 nurse managers and 14 point-of-care nurses recruited from a mental health hospital environment in Ontario, Canada. Inductive and deductive content analyses were used to analyze the semistructured interviews. RESULTS: Nurse managers adopt the role of advocate, educator, and connector, using the following strategies: communicating system updates, demonstrating use of health IT, linking staff to resources, facilitating education, and providing IT oversight. CONCLUSIONS: Nurse managers use a variety of strategies to support nurses' use of health IT. Future research should focus on the effectiveness of these strategies.</t>
        </is>
      </c>
      <c r="K91" s="2" t="n"/>
      <c r="L91" s="2" t="n"/>
      <c r="M91" s="4" t="inlineStr">
        <is>
          <t>https://doi.org/10.1097/NNA.0000000000000810</t>
        </is>
      </c>
    </row>
    <row r="92" ht="58" customHeight="1">
      <c r="A92" s="2" t="n">
        <v>91</v>
      </c>
      <c r="B92" s="2" t="inlineStr">
        <is>
          <t>R1436</t>
        </is>
      </c>
      <c r="C92" s="3" t="n"/>
      <c r="D92" s="3" t="n"/>
      <c r="E92" s="3" t="n"/>
      <c r="F92" s="2" t="n">
        <v>2021</v>
      </c>
      <c r="G92" s="2" t="inlineStr">
        <is>
          <t>Journal Article</t>
        </is>
      </c>
      <c r="H92" s="2" t="inlineStr">
        <is>
          <t>Computers, informatics, nursing : CIN</t>
        </is>
      </c>
      <c r="I92" s="2" t="inlineStr">
        <is>
          <t>The Role of a Nurse Practitioner in a "Big Bang" Electronic Medical Record Implementation.</t>
        </is>
      </c>
      <c r="J92" s="2" t="inlineStr">
        <is>
          <t>[no abstract - screen on title, venue, and document type]</t>
        </is>
      </c>
      <c r="K92" s="2" t="n"/>
      <c r="L92" s="2" t="n"/>
      <c r="M92" s="4" t="inlineStr">
        <is>
          <t>https://doi.org/10.1097/CIN.0000000000000729</t>
        </is>
      </c>
    </row>
    <row r="93" ht="318" customHeight="1">
      <c r="A93" s="2" t="n">
        <v>92</v>
      </c>
      <c r="B93" s="2" t="inlineStr">
        <is>
          <t>R1487</t>
        </is>
      </c>
      <c r="C93" s="3" t="n"/>
      <c r="D93" s="3" t="n"/>
      <c r="E93" s="3" t="n"/>
      <c r="F93" s="2" t="n">
        <v>2017</v>
      </c>
      <c r="G93" s="2" t="inlineStr">
        <is>
          <t>Journal Article</t>
        </is>
      </c>
      <c r="H93" s="2" t="inlineStr">
        <is>
          <t>JMIR medical informatics</t>
        </is>
      </c>
      <c r="I93" s="2" t="inlineStr">
        <is>
          <t>The Value of Electronic Medical Record Implementation in Mental Health Care: A Case Study.</t>
        </is>
      </c>
      <c r="J93" s="2" t="inlineStr">
        <is>
          <t>BACKGROUND: Electronic medical records (EMR) have been implemented in many organizations to improve the quality of care. Evidence supporting the value added to a recovery-oriented mental health facility is lacking. OBJECTIVE: The goal of this project was to implement and customize a fully integrated EMR system in a specialized, recovery-oriented mental health care facility. This evaluation examined the outcomes of quality improvement initiatives driven by the EMR to determine the value that the EMR brought to the organization. METHODS: The setting was a tertiary-level mental health facility in Ontario, Canada. Clinical informatics and decision support worked closely with point-of-care staff to develop workflows and documentation tools in the EMR. The primary initiatives were implementation of modules for closed loop medication administration, collaborative plan of care, clinical practice guidelines for schizophrenia, restraint minimization, the infection prevention and control surveillance status board, drug of abuse screening, and business intelligence. RESULTS: Medication and patient scan rates have been greater than 95% since April 2014, mitigating the adverse effects of medication errors. Specifically, between April 2014 and March 2015, only 1 moderately severe and 0 severe adverse drug events occurred. The number of restraint incidents decreased 19.7%, which resulted in cost savings of more than Can $1.4 million (US $1.0 million) over 2 years. Implementation of clinical practice guidelines for schizophrenia increased adherence to evidence-based practices, standardizing care across the facility. Improved infection prevention and control surveillance reduced the number of outbreak days from 47 in the year preceding implementation of the status board to 7 days in the year following. Decision support to encourage preferential use of the cost-effective drug of abuse screen when clinically indicated resulted in organizational cost savings. CONCLUSIONS: EMR implementation allowed Ontario Shores Centre for Mental Health Sciences to use data analytics to identify and select appropriate quality improvement initiatives, supporting patient-centered, recovery-oriented practices and providing value at the clinical, organizational, and societal levels.</t>
        </is>
      </c>
      <c r="K93" s="2" t="n"/>
      <c r="L93" s="2" t="n"/>
      <c r="M93" s="4" t="inlineStr">
        <is>
          <t>https://doi.org/10.2196/medinform.6512</t>
        </is>
      </c>
    </row>
    <row r="94" ht="71" customHeight="1">
      <c r="A94" s="2" t="n">
        <v>93</v>
      </c>
      <c r="B94" s="2" t="inlineStr">
        <is>
          <t>R0648</t>
        </is>
      </c>
      <c r="C94" s="3" t="n"/>
      <c r="D94" s="3" t="n"/>
      <c r="E94" s="3" t="n"/>
      <c r="F94" s="2" t="n">
        <v>2024</v>
      </c>
      <c r="G94" s="2" t="inlineStr">
        <is>
          <t>Journal Article</t>
        </is>
      </c>
      <c r="H94" s="2" t="inlineStr">
        <is>
          <t>Journal of multidisciplinary healthcare</t>
        </is>
      </c>
      <c r="I94" s="2" t="inlineStr">
        <is>
          <t>Response to "Electronic Health Record Implementation Enhances Financial Performance in High Medicaid Nursing Homes" [Letter].</t>
        </is>
      </c>
      <c r="J94" s="2" t="inlineStr">
        <is>
          <t>[no abstract - screen on title, venue, and document type]</t>
        </is>
      </c>
      <c r="K94" s="2" t="n"/>
      <c r="L94" s="2" t="n"/>
      <c r="M94" s="4" t="inlineStr">
        <is>
          <t>https://doi.org/10.2147/JMDH.S487196</t>
        </is>
      </c>
    </row>
    <row r="95" ht="279" customHeight="1">
      <c r="A95" s="2" t="n">
        <v>94</v>
      </c>
      <c r="B95" s="2" t="inlineStr">
        <is>
          <t>R0018</t>
        </is>
      </c>
      <c r="C95" s="3" t="n"/>
      <c r="D95" s="3" t="n"/>
      <c r="E95" s="3" t="n"/>
      <c r="F95" s="2" t="n">
        <v>2024</v>
      </c>
      <c r="G95" s="2" t="inlineStr">
        <is>
          <t>Journal Article; Scoping Review</t>
        </is>
      </c>
      <c r="H95" s="2" t="inlineStr">
        <is>
          <t>Frontiers in aging</t>
        </is>
      </c>
      <c r="I95" s="2" t="inlineStr">
        <is>
          <t>Implementation of digital health technologies for older adults: a scoping review.</t>
        </is>
      </c>
      <c r="J95" s="2" t="inlineStr">
        <is>
          <t>The critical importance of technological innovation in home care for older adults is indisputable. Less well understood is the question of how to measure its performance and impact on the delivery of healthcare to older adults who are living with chronic illness and disability. Knowing how well digital technologies, such as smartphones, tablets, wearable devices, and Ambient Assisted Living Technologies (AAL) systems "work" should certainly include assessing their impact on older adults' health and ability to function in daily living but that will not guarantee that it will necessarily be adopted by the user or implemented by a healthcare facility or the healthcare system. Technology implementation is a process of planned and guided activities to launch, introduce and support technologies in a certain context to innovate or improve healthcare, which delivers the evidence for adoption and upscaling a technology in healthcare practices. Factors in addition to user acceptance and clinical effectiveness require investigation. Failure to appreciate these factors can result in increased likelihood of technology rejection or protracted procurement decision at the "adoption decision" stage or delayed or incomplete implementation or discontinuance (following initial adoption) during implementation. The aim of our research to analyze research studies on the effectiveness of digital health technologies for older adults to answer the question, "How well do these studies address factors that affect the implementation of technology?" We found common problems with the conceptualization, design, and methodology in studies of digital technology that have contributed to the slow pace of implementation in home care and long-term care. We recommend a framework for improving the quality of research in this critical area. Systematic Review Registration: https://archive.org/details/osf-registrations-f56rb-v1, identifier osf-registrations-f56rb-v1.</t>
        </is>
      </c>
      <c r="K95" s="2" t="n"/>
      <c r="L95" s="2" t="n"/>
      <c r="M95" s="4" t="inlineStr">
        <is>
          <t>https://doi.org/10.3389/fragi.2024.1349520</t>
        </is>
      </c>
    </row>
    <row r="96" ht="97" customHeight="1">
      <c r="A96" s="2" t="n">
        <v>95</v>
      </c>
      <c r="B96" s="2" t="inlineStr">
        <is>
          <t>R0855</t>
        </is>
      </c>
      <c r="C96" s="3" t="n"/>
      <c r="D96" s="3" t="n"/>
      <c r="E96" s="3" t="n"/>
      <c r="F96" s="2" t="n">
        <v>2018</v>
      </c>
      <c r="G96" s="2" t="inlineStr">
        <is>
          <t>Journal Article</t>
        </is>
      </c>
      <c r="H96" s="2" t="inlineStr">
        <is>
          <t>The American journal on addictions</t>
        </is>
      </c>
      <c r="I96" s="2" t="inlineStr">
        <is>
          <t>Implementation challenges of the final rule of Title 42 of the Code of Federal Regulations part 2: can privacy endure in an era of electronic health information exchange?</t>
        </is>
      </c>
      <c r="J96" s="2" t="inlineStr">
        <is>
          <t>[no abstract - screen on title, venue, and document type]</t>
        </is>
      </c>
      <c r="K96" s="2" t="n"/>
      <c r="L96" s="2" t="n"/>
      <c r="M96" s="4" t="inlineStr">
        <is>
          <t>https://doi.org/10.1111/ajad.12667</t>
        </is>
      </c>
    </row>
    <row r="97" ht="110" customHeight="1">
      <c r="A97" s="2" t="n">
        <v>96</v>
      </c>
      <c r="B97" s="2" t="inlineStr">
        <is>
          <t>R0427</t>
        </is>
      </c>
      <c r="C97" s="3" t="n"/>
      <c r="D97" s="3" t="n"/>
      <c r="E97" s="3" t="n"/>
      <c r="F97" s="2" t="n">
        <v>2023</v>
      </c>
      <c r="G97" s="2" t="inlineStr">
        <is>
          <t>Journal Article</t>
        </is>
      </c>
      <c r="H97" s="2" t="inlineStr">
        <is>
          <t>International journal of gynecological cancer : official journal of the International Gynecological Cancer Society</t>
        </is>
      </c>
      <c r="I97" s="2" t="inlineStr">
        <is>
          <t>Call for implementation research: cross-continental partnership experiences from the Trans-African Digital e-Health Network (i-STARC Project).</t>
        </is>
      </c>
      <c r="J97" s="2" t="inlineStr">
        <is>
          <t>[no abstract - screen on title, venue, and document type]</t>
        </is>
      </c>
      <c r="K97" s="2" t="n"/>
      <c r="L97" s="2" t="n"/>
      <c r="M97" s="4" t="inlineStr">
        <is>
          <t>https://doi.org/10.1136/ijgc-2021-003274</t>
        </is>
      </c>
    </row>
    <row r="98" ht="370" customHeight="1">
      <c r="A98" s="2" t="n">
        <v>97</v>
      </c>
      <c r="B98" s="2" t="inlineStr">
        <is>
          <t>R0803</t>
        </is>
      </c>
      <c r="C98" s="3" t="n"/>
      <c r="D98" s="3" t="n"/>
      <c r="E98" s="3" t="n"/>
      <c r="F98" s="2" t="n">
        <v>2024</v>
      </c>
      <c r="G98" s="2" t="inlineStr">
        <is>
          <t>Journal Article</t>
        </is>
      </c>
      <c r="H98" s="2" t="inlineStr">
        <is>
          <t>Oxford open digital health</t>
        </is>
      </c>
      <c r="I98" s="2" t="inlineStr">
        <is>
          <t>Learning from digital health investments during COVID-19 vaccine program implementation: a research collaboration and theory of change.</t>
        </is>
      </c>
      <c r="J98" s="2" t="inlineStr">
        <is>
          <t>Responses to recent epidemics provide critical lessons on how the use of digital technologies and data systems can support timely and evidence-driven responses to public health emergencies. The arrival of COVID-19 and, subsequently, the COVID-19 vaccine, compelled many countries to attempt to create digitized, individual-level records on a large scale and quickly. In 2022, the United States Agency for International Development (USAID) brought together four global USAID-funded projects to explore whether and how USAID's COVID-19 vaccine data and digital health investments supporting the emergency response strengthened the digital health enabling environment and, by extension, contributed to broader health system strengthening. Each project designed and implemented individual learning activities aligned to their specific USAID-funded COVID-19 vaccine response activities. The group collaboratively developed a theory of change to explore the potential relationship between COVID-19 vaccine-related digital and data investments and their immediate COVID-19 response, as well as two intermediate- and longer-term impact pathways: one focused on COVID-19-specific outcomes and impact, and a second focused on strengthening the digital health enabling environment and broader health system. The focus of this supplement is primarily to explore the theory of change associated with this latter pathway. Recognizing that health emergencies triggered by shocks due to disease outbreaks, climate change and conflict are likely to continue to characterize the environment in which health programs are delivered, this research seeks to contribute to a better understanding of how digital technologies and data systems can be most effectively leveraged to meet immediate needs while strengthening country resilience over the long term. Abrégé Les réponses aux récentes épidémies ont permis de tirer d'importants enseignements sur la façon dont le recours aux technologies numériques et aux systèmes de données peut appuyer le déclenchement rapide d'interventions fondées sur des éléments probants contre les urgences de santé publique. L'arrivée de la COVID-19 et, par la suite, celui du vaccin contre la COVID-19 ont contraint de nombreux pays à tenter de créer des dossiers numérisés au niveau individuel à grande échelle et rapidement. [continues in next column]</t>
        </is>
      </c>
      <c r="K98" s="2" t="inlineStr">
        <is>
          <t>En 2022, l'United States Agency for International Development (USAID) a rassemblé quatre projets mondiaux qu'elle finançait dans le but d'explorer si et comment les données de l'USAID relatives au vaccin contre la COVID-19 ainsi que les investissements en santé numérique appuyant la réponse d'urgence avaient renforcé l'environnement propice à la santé numérique et, par extension, s'ils avaient contribué au renforcement du système de santé dans son ensemble. Chaque projet a conçu et mis en œuvre des activités d'apprentissage individuelles alignées sur leurs activités spécifiques de riposte au vaccin contre la COVID-19 financées par l'USAID. Le groupe a collaboré pour élaborer une théorie du changement afin d'étudier la relation potentielle entre les investissements dans le numérique et dans les données liées au vaccin contre la COVID-19 et leur réponse immédiate à la COVID-19 ainsi que deux itinéraires d'impact à moyen et à long terme: l'un était axé sur l'impact et les résultats spécifiques à la COVID-19 et le second sur le renforcement de l'environnement propice à la santé numérique et du système de santé dans son ensemble. Ce supplément a pour objectif principal d'examiner la théorie du changement associée à ce dernier itinéraire. Reconnaissant qu'il est probable que les conflits, les changements climatiques et les urgences sanitaires causées par des chocs dus à des épidémies continueront de caractériser l'environnement dans lequel sont offerts les programmes de santé, cette recherche vise à mieux faire comprendre la façon dont les technologies numériques et les systèmes de données peuvent être exploités le plus efficacement possible pour répondre aux besoins immédiats tout en renforçant la capacité de résilience des pays sur le long terme. Resumen Las respuestas a las epidemias recientes proporcionan lecciones críticas sobre cómo se puede apoyar respuestas oportunas y de base empírica a las emergencias de salud pública mediante el uso de tecnologías digitales y sistemas de datos. La llegada de la COVID-19 y, posteriormente, la vacuna contra esa enfermedad, obligó a muchos países a tratar de crear registros individuales digitalizados, a gran escala y rápidamente. En 2022, United States Agency for International Development (USAID) reunió cuatro proyectos globales que había financiado para estudiar si sus datos sobre la vacuna contra la COVID-19 y las inversiones en salud digital en apoyo de la respuesta de emergencia habían fortalecido el entorno propicio para la salud digital y, por extensión, si habían contribuido a fortalecer el sistema de salud en general, y de qué forma lo habían hecho. [continues in next column]</t>
        </is>
      </c>
      <c r="L98" s="2" t="inlineStr">
        <is>
          <t>En cada proyecto se habían diseñado e implementado actividades de aprendizaje individuales, acordes con las actividades específicas de respuesta vacunal financiadas por USAID. El grupo desarrolló en forma colaborativa una teoría del cambio para analizar la posible relación entre las inversiones digitales y de datos y la vacuna contra la COVID-19 y su respuesta inmediata a la pandemia, así como dos vías de impacto a mediano y largo plazo: una primera centrada en los resultados y efectos específicos en la pandemia, y una segunda centrada en fortalecer el entorno propicio para la salud digital y un sistema de salud más amplio. El enfoque de este suplemento consiste principalmente en examinar la teoría del cambio vinculada con esta última vía. Reconociendo que es probable que las emergencias sanitarias provocadas por los brotes de enfermedades, el cambio climático y los conflictos continúen caracterizando el entorno en el que se ejecutan los programas de salud, esta investigación busca ayudar a que se comprenda mejor la forma en que las tecnologías digitales y los sistemas de datos pueden aprovecharse de manera más efectiva para satisfacer las necesidades inmediatas, fortaleciendo la resiliencia de los países a largo plazo.</t>
        </is>
      </c>
      <c r="M98" s="4" t="inlineStr">
        <is>
          <t>https://doi.org/10.1093/oodh/oqae005</t>
        </is>
      </c>
    </row>
    <row r="99" ht="240" customHeight="1">
      <c r="A99" s="2" t="n">
        <v>98</v>
      </c>
      <c r="B99" s="2" t="inlineStr">
        <is>
          <t>R0347</t>
        </is>
      </c>
      <c r="C99" s="3" t="n"/>
      <c r="D99" s="3" t="n"/>
      <c r="E99" s="3" t="n"/>
      <c r="F99" s="2" t="n">
        <v>2020</v>
      </c>
      <c r="G99" s="2" t="inlineStr">
        <is>
          <t>Journal Article</t>
        </is>
      </c>
      <c r="H99" s="2" t="inlineStr">
        <is>
          <t>The European journal of general practice</t>
        </is>
      </c>
      <c r="I99" s="2" t="inlineStr">
        <is>
          <t>SERIES: eHealth in primary care. Part 4: Addressing the challenges of implementation.</t>
        </is>
      </c>
      <c r="J99" s="2" t="inlineStr">
        <is>
          <t>BACKGROUND: The implementation of eHealth applications in primary care remains challenging. Enhancing knowledge and awareness of implementation determinants is critical to build evidence-based implementation strategies and optimise uptake and sustainability. OBJECTIVES: We consider how evidence-based implementation strategies can be built to support eHealth implementation. DISCUSSION: What implementation strategies to consider depends on (potential) barriers and facilitators to eHealth implementation in a given situation. Therefore, we first discuss key barriers and facilitators following the five domains of the Consolidated Framework for Implementation Research (CFIR). Cost is identified as a critical barrier to eHealth implementation. Privacy, security problems, and a lack of recognised standards for eHealth applications also hinder implementation. Engagement of key stakeholders in the implementation process, planning the implementation of the intervention, and the availability of training and support are important facilitators. To support care professionals and researchers, we provide a stepwise approach to develop and apply evidence-based implementation strategies for eHealth in primary care. It includes the following steps: (1) specify the eHealth application, (2) define problem, (3) specify desired implementation behaviour, and (4) choose and (5) evaluate the implementation strategy. To improve the fit of the implementation strategy with the setting, the stepwise approach considers the phase of the implementation process and the specific context. CONCLUSION: Applying an approach, as provided here, may help to improve the implementation of eHealth applications in primary care.</t>
        </is>
      </c>
      <c r="K99" s="2" t="n"/>
      <c r="L99" s="2" t="n"/>
      <c r="M99" s="4" t="inlineStr">
        <is>
          <t>https://doi.org/10.1080/13814788.2020.1826431</t>
        </is>
      </c>
    </row>
    <row r="100" ht="188" customHeight="1">
      <c r="A100" s="2" t="n">
        <v>99</v>
      </c>
      <c r="B100" s="2" t="inlineStr">
        <is>
          <t>R1450</t>
        </is>
      </c>
      <c r="C100" s="3" t="n"/>
      <c r="D100" s="3" t="n"/>
      <c r="E100" s="3" t="n"/>
      <c r="F100" s="2" t="n">
        <v>2024</v>
      </c>
      <c r="G100" s="2" t="inlineStr">
        <is>
          <t>Journal Article; Scoping Review</t>
        </is>
      </c>
      <c r="H100" s="2" t="inlineStr">
        <is>
          <t>Healthcare management forum</t>
        </is>
      </c>
      <c r="I100" s="2" t="inlineStr">
        <is>
          <t>Benefits, facilitators, and barriers of electronic medical records implementation in outpatient settings: A scoping review.</t>
        </is>
      </c>
      <c r="J100" s="2" t="inlineStr">
        <is>
          <t>This scoping review examined the breadth and depth of evidence on Electronic Medical Record (EMR) implementation benefits in outpatient settings. Following PRISMA guidelines for scoping reviews, five databases were searched, and 24 studies were retained and reviewed. Benefits, facilitators, and barriers to EMR implementation were extracted. Direct benefits included improved communication/reporting, work efficiency, care process, healthcare outcomes, safety, and patient-centredness of care. Indirect benefits were improved financial performance and increased data accessibility, staff satisfaction, and decision-support usage. Barriers included time and financial constraints; design/technical issues; limited information technology resources, skills, and infrastructure capacity; increased workload and reduced efficiency during implementation; incompatibility of existing systems and local regulations; and resistance from healthcare professionals. Facilitators included training, change management, user-friendliness and alignment with workflow, user experience with EMRs, top management support, and sufficient resources. More rigorous, systematic research is needed, using relevant frameworks to inform healthcare policies and guide EMR projects in outpatient areas.</t>
        </is>
      </c>
      <c r="K100" s="2" t="n"/>
      <c r="L100" s="2" t="n"/>
      <c r="M100" s="4" t="inlineStr">
        <is>
          <t>https://doi.org/10.1177/08404704231224070</t>
        </is>
      </c>
    </row>
    <row r="101" ht="305" customHeight="1">
      <c r="A101" s="2" t="n">
        <v>100</v>
      </c>
      <c r="B101" s="2" t="inlineStr">
        <is>
          <t>R0559</t>
        </is>
      </c>
      <c r="C101" s="3" t="n"/>
      <c r="D101" s="3" t="n"/>
      <c r="E101" s="3" t="n"/>
      <c r="F101" s="2" t="n">
        <v>2024</v>
      </c>
      <c r="G101" s="2" t="inlineStr">
        <is>
          <t>Journal Article</t>
        </is>
      </c>
      <c r="H101" s="2" t="inlineStr">
        <is>
          <t>Journal of multidisciplinary healthcare</t>
        </is>
      </c>
      <c r="I101" s="2" t="inlineStr">
        <is>
          <t>Electronic Health Record Implementation Enhances Financial Performance in High Medicaid Nursing Homes.</t>
        </is>
      </c>
      <c r="J101" s="2" t="inlineStr">
        <is>
          <t>INTRODUCTION: The nursing home (NH) industry operates within a two-tiered system, wherein high Medicaid NHs which disproportionately serve marginalized populations, exhibit poorer quality of care and financial performance. Utilizing the resource-based view of the firm, this study aimed to investigate the association between electronic health record (EHR) implementation and financial performance in high Medicaid NHs. A positive correlation could allow high Medicaid NHs to leverage technology to enhance efficiency and financial health, thereby establishing a business case for EHR investments. METHODS: Data from 2017 to 2018 were sourced from mail surveys sent to the Director of Nursing in high Medicaid NHs (defined as having 85% or more Medicaid census, excluding facilities with over 10% private pay or 8% Medicare), and secondary sources like LTCFocus.org and Centers for Medicare &amp; Medicaid Services cost reports. From the initial sample of 1,050 NHs, a 37% response rate was achieved (391 surveys). Propensity score inverse probability weighting was used to account for potential non-response bias. The independent variable, EHR Implementation Score (EIS), was calculated as the sum of scores across five EHR functionalities-administrative, documentation, order entry, results viewing, and clinical tools-and reflected the extent of electronic implementation. The dependent variable, total margin, represented NH financial performance. A multivariable linear regression model was used, adjusting for organizational and market-level control variables that may independently affect NH financial performance. RESULTS: Approximately 76% of high Medicaid NHs had implemented EHR either fully or partially (n = 391). The multivariable regression model revealed that a one-unit increase in EIS was associated with a 0.12% increase in the total margin (p = 0.05, CI: -0.00-0.25). CONCLUSION: The findings highlight a potential business case -long-term financial returns for the initial investments required for EHR implementation. Nonetheless, policy interventions including subsidies may still be necessary to stimulate EHR implementation, particularly in high Medicaid NHs.</t>
        </is>
      </c>
      <c r="K101" s="2" t="n"/>
      <c r="L101" s="2" t="n"/>
      <c r="M101" s="4" t="inlineStr">
        <is>
          <t>https://doi.org/10.2147/JMDH.S457420</t>
        </is>
      </c>
    </row>
    <row r="102" ht="162" customHeight="1">
      <c r="A102" s="2" t="n">
        <v>101</v>
      </c>
      <c r="B102" s="2" t="inlineStr">
        <is>
          <t>R0463</t>
        </is>
      </c>
      <c r="C102" s="3" t="n"/>
      <c r="D102" s="3" t="n"/>
      <c r="E102" s="3" t="n"/>
      <c r="F102" s="2" t="n">
        <v>2015</v>
      </c>
      <c r="G102" s="2" t="inlineStr">
        <is>
          <t>Journal Article</t>
        </is>
      </c>
      <c r="H102" s="2" t="inlineStr">
        <is>
          <t>Studies in health technology and informatics</t>
        </is>
      </c>
      <c r="I102" s="2" t="inlineStr">
        <is>
          <t>Towards the Implementation of an openEHR-based Open Source EHR Platform (a vision paper).</t>
        </is>
      </c>
      <c r="J102" s="2" t="inlineStr">
        <is>
          <t>Healthcare Information Systems are a big business. Currently there is an explosion of EHR/EMR products available on the market, and the best tools are really expensive. Many developing countries and healthcare providers cannot access such tools, and for those who can, there is not a clear strategy for the evolution, scaling, and cost of these electronic health products. The lack of standard-based implementations conduct to the creation of isolated information silos that cannot be exploited (i.e. shared between providers to promote a holistic view of each patient's medical history). This paper exposes the main elements behind a Standard-based Open Source EHR Platform that is future-proof and allows to evolve and scale with minimal cost. The proposed EHR Architecture is based on openEHR specifications, adding elements emerged from research and development experiences, leading to a design that can be implemented in any modern technology. Different implementations will be interoperable by design. This Platform will leverage contexts of scarce resources, reusing clinical knowledge, a common set of software components and services.</t>
        </is>
      </c>
      <c r="K102" s="2" t="n"/>
      <c r="L102" s="2" t="n"/>
      <c r="M102" s="2" t="n"/>
    </row>
    <row r="103" ht="188" customHeight="1">
      <c r="A103" s="2" t="n">
        <v>102</v>
      </c>
      <c r="B103" s="2" t="inlineStr">
        <is>
          <t>R0131</t>
        </is>
      </c>
      <c r="C103" s="3" t="n"/>
      <c r="D103" s="3" t="n"/>
      <c r="E103" s="3" t="n"/>
      <c r="F103" s="2" t="n">
        <v>2016</v>
      </c>
      <c r="G103" s="2" t="inlineStr">
        <is>
          <t>Journal Article; Research Support, Non-U.S. Gov't</t>
        </is>
      </c>
      <c r="H103" s="2" t="inlineStr">
        <is>
          <t>Health services research</t>
        </is>
      </c>
      <c r="I103" s="2" t="inlineStr">
        <is>
          <t>Health Information Technology Adoption in the Emergency Department.</t>
        </is>
      </c>
      <c r="J103" s="2" t="inlineStr">
        <is>
          <t>OBJECTIVE: To describe the trend in health information technology (IT) systems adoption in hospital emergency departments (EDs) and its effect on ED efficiency and resource use. DATA SOURCES: 2007-2010 National Hospital Ambulatory Medical Care Survey - ED Component. STUDY DESIGN: We assessed changes in the percent of visits to EDs with health IT capability and the estimated effect on waiting time to see a provider, visit length, and resource use. PRINCIPAL FINDINGS: The percent of ED visits that took place in an ED with at least a basic health IT or an advanced IT system increased from 25.2 and 3.1 percent in 2007 to 69.1 and 30.6 percent in 2010, respectively (p &lt; .05). Controlling for ED fixed effects, waiting times were reduced by 6.0 minutes in advanced IT-equipped EDs (p &lt; .05), and the number of tests ordered increased by 9 percent (p &lt; .01). In models using a 1-year lag, advanced systems also showed an increase in the number of medications and images ordered per visit. CONCLUSIONS: Almost a third of visits now occur in EDs with advanced IT capability. While advanced IT adoption may decrease wait times, resource use during ED visits may also increase depending on how long the system has been in place. We were not able to determine if these changes indicated more appropriate care.</t>
        </is>
      </c>
      <c r="K103" s="2" t="n"/>
      <c r="L103" s="2" t="n"/>
      <c r="M103" s="4" t="inlineStr">
        <is>
          <t>https://doi.org/10.1111/1475-6773.12307</t>
        </is>
      </c>
    </row>
    <row r="104" ht="370" customHeight="1">
      <c r="A104" s="2" t="n">
        <v>103</v>
      </c>
      <c r="B104" s="2" t="inlineStr">
        <is>
          <t>R0501</t>
        </is>
      </c>
      <c r="C104" s="3" t="n"/>
      <c r="D104" s="3" t="n"/>
      <c r="E104" s="3" t="n"/>
      <c r="F104" s="2" t="n">
        <v>2025</v>
      </c>
      <c r="G104" s="2" t="inlineStr">
        <is>
          <t>Journal Article</t>
        </is>
      </c>
      <c r="H104" s="2" t="inlineStr">
        <is>
          <t>JMIR mHealth and uHealth</t>
        </is>
      </c>
      <c r="I104" s="2" t="inlineStr">
        <is>
          <t>Unraveling the Factors Associated With Digital Health Intervention Uptake: Cross-Sectional Study.</t>
        </is>
      </c>
      <c r="J104" s="2" t="inlineStr">
        <is>
          <t>BACKGROUND: Chronic noncommunicable diseases (NCDs) remain a leading health challenge worldwide, and reducing modifiable lifestyle risk factors is a key prevention strategy. Digital health interventions (DHIs) offer scalable, cost-effective tools to support healthy behaviors, but concerns persist about their equitable reach and uptake across population groups. OBJECTIVE: This study aimed to examine how socioeconomic factors, health status, lifestyle behaviors, and attitudes and experiences related to the use of electronic services (e-services) are associated with the uptake of a DHI. METHODS: In this cross-sectional study, we invited (through mail or SMS) a subgroup of 6978 participants aged 20-74 years from the population-based Healthy Finland survey to take part in a DHI. The DHI, delivered via the web-based BitHabit app, aimed to support the adoption of healthy lifestyle habits. Uptake was defined as successful registration, agreeing to the terms of use, and accepting the invitation to participate. Predictor variables were drawn from national registry and self-reported survey data and included socioeconomic status, health indicators, lifestyle behaviors, and attitudes and experiences related to the use of e-services. Adjusted logistic regression models were used to identify significant predictors of DHI uptake. RESULTS: Of the final sample of 6975 participants, 1287 (18.5%) started using the DHI. Uptake was significantly higher among women (adjusted odds ratio [aOR] 1.69, 95% CI 1.49-1.93), middle-aged individuals (aOR 1.47, 95% CI 1.21-1.79), and those with higher income (aORs 1.76-1.97, 95% CIs 1.37-2.59) and more years of education (aOR 1.10, 95% CI 1.08-1.12). Healthier lifestyle indicators, including better diet quality (aOR 1.07, 95% CI 1.04-1.10), less frequent smoking or nonsmoking (aORs 1.59-2.29, 95% CIs 1.08-3.12), sleep (aOR 0.58, 95% CI 0.37-0.86), higher functional capacity (aOR 1.06, 95% CI 1.02-1.11), and good overall current health (aOR 1.46, 95% CI 1.15-1.89), were associated with increased likelihood of DHI uptake. The strongest predictors were related to the use of e-services: Individuals who used e-services (aORs 2.48-6.08, 95% CIs 1.19-11.92) reported higher competence to use e-services (aORs 2.00-4.10, 95% CIs 1.44-5.92), had low concerns about data security (aORs 1.37-1.76, 95% CIs 1.03-2.33), believed in the benefits of digital services (aOR 1.04, 95% CI 1.02-1.05), and had better internet connections had higher odds of uptake. CONCLUSIONS: Our findings show that DHI uptake is associated with socioeconomic status, health and lifestyle factors, and, especially, individuals' experience and attitudes toward e-services. [continues in next column]</t>
        </is>
      </c>
      <c r="K104" s="2" t="inlineStr">
        <is>
          <t>Individuals with lower education levels, lower income, and poorer health and lifestyle habits are less likely to adopt DHIs, raising concerns about potential digital health inequities. These results underscore the need for targeted strategies to reduce barriers and ensure more equitable reach and engagement in future DHI implementations.</t>
        </is>
      </c>
      <c r="L104" s="2" t="n"/>
      <c r="M104" s="4" t="inlineStr">
        <is>
          <t>https://doi.org/10.2196/63896</t>
        </is>
      </c>
    </row>
    <row r="105" ht="240" customHeight="1">
      <c r="A105" s="2" t="n">
        <v>104</v>
      </c>
      <c r="B105" s="2" t="inlineStr">
        <is>
          <t>R0106</t>
        </is>
      </c>
      <c r="C105" s="3" t="n"/>
      <c r="D105" s="3" t="n"/>
      <c r="E105" s="3" t="n"/>
      <c r="F105" s="2" t="n">
        <v>2025</v>
      </c>
      <c r="G105" s="2" t="inlineStr">
        <is>
          <t>Journal Article</t>
        </is>
      </c>
      <c r="H105" s="2" t="inlineStr">
        <is>
          <t>Health information management : journal of the Health Information Management Association of Australia</t>
        </is>
      </c>
      <c r="I105" s="2" t="inlineStr">
        <is>
          <t>Enhancing nursing home quality through electronic health record implementation.</t>
        </is>
      </c>
      <c r="J105" s="2" t="inlineStr">
        <is>
          <t>Background: The quality of care in nursing homes (NHs) in the United States has long been a matter of policy concern. Although electronic health records (EHRs) are argued to improve quality, implementation has lagged due to various factors such as financial constraints and limited research on their impact on NH quality. Objective: This study examined the relationship between EHR implementation and NH quality using Donabedian's structure-process-outcome model. Method: Data on EHR implementation were collected via a 2018 survey of all Federally certified Arkansas NHs (n = 223). Of the 63 responding NHs, 48 reported EHR implementation. Survey data were merged with secondary sources such as Certification and Survey Provider Enhanced Reporting. A total of 744 NH-years for the period 2008-2020 were included in the final sample. A pre-post negative binomial panel data regression was used to examine the relationship between EHR implementation (dichotomous variable) and NH deficiencies (dependent count variable) with facility/community-level control variables. Results were reported as incidence rate ratios (IRR). Results: NHs that had implemented EHR experienced an 18% reduction in the rate of deficiencies compared to those without EHR systems (IRR = 0.82, 95% CI [0.70, 0.99], p = 0.035). Conclusion: EHR implementation had a favourable impact on NH quality. Implications: Past research suggests that higher NH quality may be associated with improved financial performance. Therefore, EHR implementation has the potential to address two critical challenges: enhancing care quality and improving financial outcomes. However, government financial incentives may be necessary to address the high-cost of implementing EHR systems.</t>
        </is>
      </c>
      <c r="K105" s="2" t="n"/>
      <c r="L105" s="2" t="n"/>
      <c r="M105" s="4" t="inlineStr">
        <is>
          <t>https://doi.org/10.1177/18333583241274010</t>
        </is>
      </c>
    </row>
    <row r="106" ht="357" customHeight="1">
      <c r="A106" s="2" t="n">
        <v>105</v>
      </c>
      <c r="B106" s="2" t="inlineStr">
        <is>
          <t>R0155</t>
        </is>
      </c>
      <c r="C106" s="3" t="n"/>
      <c r="D106" s="3" t="n"/>
      <c r="E106" s="3" t="n"/>
      <c r="F106" s="2" t="n">
        <v>2021</v>
      </c>
      <c r="G106" s="2" t="inlineStr">
        <is>
          <t>Journal Article</t>
        </is>
      </c>
      <c r="H106" s="2" t="inlineStr">
        <is>
          <t>Lancet (London, England)</t>
        </is>
      </c>
      <c r="I106" s="2" t="inlineStr">
        <is>
          <t>The impact of e-health system implementation on UNWRA health services: an observational study.</t>
        </is>
      </c>
      <c r="J106" s="2" t="inlineStr">
        <is>
          <t>BACKGROUND: The United Nations Relief and Works Agency for Palestine Refugees in the Near East (UNRWA) provides primary-health-care services to more than 5 million Palestinian refugees in five operational fields (Jordan, Syria, Lebanon, West Bank, and Gaza) through 144 health centres. UNRWA developed its electronic health records (e-Health) system to improve monitoring and facilitation of health services provided to Palestinian refugees. By the end of 2017, the system had been deployed in 129 health centres, included the health files of 3 million patients, and managed more than 8 million visits per year. We assessed whether preventive-health-care services had improved following implementation of the system. METHODS: This observational study used three key performance indicators to assess preventive-health-care services reported in UNRWA's annual reports in 2012-17: the percentage of targeted people aged 40 years and older screened for diabetes; the percentage of pregnant women with a livebirth who attended at least four antenatal visits; and the prevalence of growth problems (underweight, stunting, wasting, and overweight or obesity) in children younger than 5 years. Simple descriptive analysis was conducted with Microsoft Excel 2010. Ethical approval was obtained from the UNRWA Headquarters Department of Health. FINDINGS: Screening for diabetes significantly increased from 13% in 2012 to 21% in 2017 (p&lt;0·0001) since the e-Health system started sending alerts to clerks at health centres. The percentage of pregnant women with a livebirth who attended at least four antenatal visits, increased from 87% in 2012 to 92% in 2017, when the e-Health System allowed health-care providers to log all pregnant women who missed their appointments to enable follow-up. Additionally, an electronic maternal and child health mobile application, sends regular reminders to mothers about appointments for themselves and their children. The percentages of underweight, stunting, wasting, and overweight or obesity among children younger than 5 years increased respectively from 3%, 4%, 2%, and 2% in 2014 to 5%, 7%, 4%, and 5% in 2017, but this was due to the increased detection of growth problems through the e-Health system. INTERPRETATION: The e-Health system improved detection and monitoring by UNRWA health-care providers and access to health services for Palestinian refugees in all three indicator categories. This study has several limitations. It is an observational study based on assessing health records of children rather than a prospective study over time. [continues in next column]</t>
        </is>
      </c>
      <c r="K106" s="2" t="inlineStr">
        <is>
          <t>The focus of the study was to assess the impact of the eHealth system on health-care delivery and not to assess the changes in health-care delivery itself. The electronic health records that were reviewed are for the Palestine refugees who are registered at UNRWA health clinics and not for other refugees or residents of the five countries. Strengths of the study are that it is based on electronic health records which contain data recorded by the treating staff; the e-health system used by UNRWA clinics staff is centralised and the data are aggregated agency wide; and the growth monitoring indicators used by UNRWA were derived from the WHO Multi-center Growth Reference Study to assess the growth of children from birth up to age 5 years. FUNDING: None.</t>
        </is>
      </c>
      <c r="L106" s="2" t="n"/>
      <c r="M106" s="4" t="inlineStr">
        <is>
          <t>https://doi.org/10.1016/S0140-6736(21)01503-8</t>
        </is>
      </c>
    </row>
    <row r="107" ht="201" customHeight="1">
      <c r="A107" s="2" t="n">
        <v>106</v>
      </c>
      <c r="B107" s="2" t="inlineStr">
        <is>
          <t>R0011</t>
        </is>
      </c>
      <c r="C107" s="3" t="n"/>
      <c r="D107" s="3" t="n"/>
      <c r="E107" s="3" t="n"/>
      <c r="F107" s="2" t="n">
        <v>2018</v>
      </c>
      <c r="G107" s="2" t="inlineStr">
        <is>
          <t>Journal Article; Review</t>
        </is>
      </c>
      <c r="H107" s="2" t="inlineStr">
        <is>
          <t>NPJ digital medicine</t>
        </is>
      </c>
      <c r="I107" s="2" t="inlineStr">
        <is>
          <t>Beyond "implementation": digital health innovation and service design.</t>
        </is>
      </c>
      <c r="J107" s="2" t="inlineStr">
        <is>
          <t>Digital tools have shown great potential to enhance health services' capacity to achieve the goals of the triple aim (enhance patient experience, improve health outcomes, and control or reduce costs), but their actual impact remains variable. In this commentary, we suggest that shifting from a perspective focused on "implementing" new digital tools in health care settings toward one focused on "service design" will help teams execute more successful digital technology adoption projects. We present value proposition design (VPD) as a service design strategy requiring that stakeholders are brutally honest in determining the value of a new digital tool for their everyday work. Incorporating a perspective focused on how the value proposition of a technology is understood by each team member, and implications for their work routines, will help project teams to better understand how services can be reinvented during technology adoption initiatives. We present the simple heuristic [Tool+Team+Routine] as a reminder of the central considerations that make up a service design initiative, and present an illustrative case scenario of designing the use of a digital care coordination platform in an actual digital technology adoption project. We conclude by outlining two important challenges that need to be addressed to advance service design approaches to technology adoption in health care.</t>
        </is>
      </c>
      <c r="K107" s="2" t="n"/>
      <c r="L107" s="2" t="n"/>
      <c r="M107" s="4" t="inlineStr">
        <is>
          <t>https://doi.org/10.1038/s41746-018-0059-8</t>
        </is>
      </c>
    </row>
    <row r="108" ht="214" customHeight="1">
      <c r="A108" s="2" t="n">
        <v>107</v>
      </c>
      <c r="B108" s="2" t="inlineStr">
        <is>
          <t>R0832</t>
        </is>
      </c>
      <c r="C108" s="3" t="n"/>
      <c r="D108" s="3" t="n"/>
      <c r="E108" s="3" t="n"/>
      <c r="F108" s="2" t="n">
        <v>2016</v>
      </c>
      <c r="G108" s="2" t="inlineStr">
        <is>
          <t>Journal Article; Research Support, Non-U.S. Gov't</t>
        </is>
      </c>
      <c r="H108" s="2" t="inlineStr">
        <is>
          <t>Pharmacotherapy</t>
        </is>
      </c>
      <c r="I108" s="2" t="inlineStr">
        <is>
          <t>Implementation of Clinical Pharmacogenomics within a Large Health System: From Electronic Health Record Decision Support to Consultation Services.</t>
        </is>
      </c>
      <c r="J108" s="2" t="inlineStr">
        <is>
          <t>The number of clinically relevant gene-based guidelines and recommendations pertaining to drug prescribing continues to grow. Incorporating gene-drug interaction information into the drug-prescribing process can help optimize pharmacotherapy outcomes and improve patient safety. However, pharmacogenomic implementation barriers exist such as integration of pharmacogenomic results into electronic health records (EHRs), development and deployment of pharmacogenomic decision support tools to EHRs, and feasible models for establishing ambulatory pharmacogenomic clinics. We describe the development of pharmacist-managed pharmacogenomic services within a large health system. The Clinical Pharmacogenetics Implementation Consortium guidelines for HLA-B*57:01-abacavir, HLA-B*15:02-carbamazepine, and TPMT-thiopurines (i.e., azathioprine, mercaptopurine, and thioguanine) were systematically integrated into patient care. Sixty-three custom rules and alerts (20 for TPMT-thiopurines, 8 for HLA-B*57:01-abacavir, and 35 for HLA-B*15:02-anticonvulsants) were developed and deployed to the EHR for the purpose of providing point-of-care pharmacogenomic decision support. In addition, a pharmacist and physician-geneticist collaboration established a pharmacogenomics ambulatory clinic. This clinic provides genetic testing when warranted, result interpretation along with pharmacotherapy recommendations, and patient education. Our processes for developing these pharmacogenomic services and solutions for addressing implementation barriers are presented.</t>
        </is>
      </c>
      <c r="K108" s="2" t="n"/>
      <c r="L108" s="2" t="n"/>
      <c r="M108" s="4" t="inlineStr">
        <is>
          <t>https://doi.org/10.1002/phar.1786</t>
        </is>
      </c>
    </row>
    <row r="109" ht="292" customHeight="1">
      <c r="A109" s="2" t="n">
        <v>108</v>
      </c>
      <c r="B109" s="2" t="inlineStr">
        <is>
          <t>R0822</t>
        </is>
      </c>
      <c r="C109" s="3" t="n"/>
      <c r="D109" s="3" t="n"/>
      <c r="E109" s="3" t="n"/>
      <c r="F109" s="2" t="n">
        <v>2021</v>
      </c>
      <c r="G109" s="2" t="inlineStr">
        <is>
          <t>Journal Article; Research Support, Non-U.S. Gov't</t>
        </is>
      </c>
      <c r="H109" s="2" t="inlineStr">
        <is>
          <t>Epilepsia open</t>
        </is>
      </c>
      <c r="I109" s="2" t="inlineStr">
        <is>
          <t>Creation and implementation of an electronic health record note for quality improvement in pediatric epilepsy: Practical considerations and lessons learned.</t>
        </is>
      </c>
      <c r="J109" s="2" t="inlineStr">
        <is>
          <t>OBJECTIVE: To describe the development of the Pediatric Epilepsy Outcome-Informatics Project (PEOIP) at Alberta Children's Hospital (ACH), which was created to provide standardized, point-of-care data entry; near-time data analysis; and availability of outcome dashboards as a baseline on which to pursue quality improvement. METHODS: Stakeholders involved in the PEOIP met weekly to determine the most important outcomes for patients diagnosed with epilepsy, create a standardized electronic note with defined fields (patient demographics, seizure and syndrome type and frequency and specific outcomes- seizure type and frequency, adverse effects, emergency department visits, hospitalization, and care pathways for clinical decision support. These were embedded in the electronic health record from which the fields were extracted into a data display platform that provided patient- and population-level dashboards updated every 36 hours. Provider satisfaction and family experience surveys were performed to assess the impact of the standardized electronic note. RESULTS: In the last 5 years, 3,245 unique patients involving 13, 831 encounters had prospective, longitudinal, standardized epilepsy data accrued via point-of-care data entry into an electronic note as part of routine clinical care. A provider satisfaction survey of the small number of users involved indicated that the vast majority believed that the note makes documentation more efficient. A family experience survey indicated that being provided with the note was considered "valuable" or "really valuable" by 86% of respondents and facilitated communication with family members, school, and advocacy organizations. SIGNIFICANCE: The PEOIP serves as a proof of principle that information obtained as part of routine clinical care can be collected in a prospective, standardized, efficient manner and be used to construct filterable process/outcome dashboards, updated in near time (36 hours). This information will provide the necessary baseline data on which multiple of QI projects to improve meaningful outcomes for children with epilepsy will be based.</t>
        </is>
      </c>
      <c r="K109" s="2" t="n"/>
      <c r="L109" s="2" t="n"/>
      <c r="M109" s="4" t="inlineStr">
        <is>
          <t>https://doi.org/10.1002/epi4.12480</t>
        </is>
      </c>
    </row>
    <row r="110" ht="279" customHeight="1">
      <c r="A110" s="2" t="n">
        <v>109</v>
      </c>
      <c r="B110" s="2" t="inlineStr">
        <is>
          <t>R0968</t>
        </is>
      </c>
      <c r="C110" s="3" t="n"/>
      <c r="D110" s="3" t="n"/>
      <c r="E110" s="3" t="n"/>
      <c r="F110" s="2" t="n">
        <v>2026</v>
      </c>
      <c r="G110" s="2" t="inlineStr">
        <is>
          <t>Journal Article</t>
        </is>
      </c>
      <c r="H110" s="2" t="inlineStr">
        <is>
          <t>Digital health</t>
        </is>
      </c>
      <c r="I110" s="2" t="inlineStr">
        <is>
          <t>Digital health adoption in nutrition care: A national cross-sectional, Arabic-validated survey and cluster analysis of patient experience and willingness to use telenutrition in Saudi Arabia.</t>
        </is>
      </c>
      <c r="J110" s="2" t="inlineStr">
        <is>
          <t>BACKGROUND: As part of the global digital health transformation and Saudi Vision 2030 priorities in chronic disease prevention, understanding public acceptance and preferences for telenutrition services is crucial for developing effective digital nutrition care platforms. OBJECTIVES: This study aimed to adapt, translate, and validate a U.S.-based national telemedicine survey for the Saudi context, to assess adults' prior use, comfort, willingness, and preferences regarding direct-to-consumer (DTC) telenutrition services. METHODS: A cross-sectional survey was completed by 930 Saudi adults recruited from major urban cities. The survey instrument was adapted, translated, and validated using standard procedures, including internal consistency reliability using Cronbach's alpha coefficient. Descriptive statistics, chi-square tests, binary logistic regression, and two-step cluster analysis. RESULTS: Among 930 respondents, 61.5% expressed comfort and 54.9% reported willingness to use telenutrition services, increasing to 78.5% when referring to family members. Key predictors of willingness included previous experience with virtual care (OR = 1.52, p &lt; 0.001), comfort with video consultations (OR = 1.39, p &lt; 0.001), and access to personal health records (OR = 1.20, p &lt; 0.041). Willingness was significantly higher among younger adults (18-29 years), employed individuals, and residents of Jeddah. Cluster analysis revealed three segments: digitally engaged and receptive, selective and independent, and supportive but personally hesitant-each characterized by differing levels of comfort and willingness to use DTC telenutrition services. Notably, only 1.3% could identify a telenutrition platform in Saudi Arabia. CONCLUSIONS: These findings underscore the need for culturally tailored, digitally inclusive telenutrition platforms that address sociodemographic differences. Investing in digital health literacy and infrastructure is essential for empowering nutrition care delivery in Saudi Arabia.</t>
        </is>
      </c>
      <c r="K110" s="2" t="n"/>
      <c r="L110" s="2" t="n"/>
      <c r="M110" s="4" t="inlineStr">
        <is>
          <t>https://doi.org/10.1177/20552076261419237</t>
        </is>
      </c>
    </row>
    <row r="111" ht="305" customHeight="1">
      <c r="A111" s="2" t="n">
        <v>110</v>
      </c>
      <c r="B111" s="2" t="inlineStr">
        <is>
          <t>R0352</t>
        </is>
      </c>
      <c r="C111" s="3" t="n"/>
      <c r="D111" s="3" t="n"/>
      <c r="E111" s="3" t="n"/>
      <c r="F111" s="2" t="n">
        <v>2025</v>
      </c>
      <c r="G111" s="2" t="inlineStr">
        <is>
          <t>Journal Article; Research Support, U.S. Gov't, Non-P.H.S.</t>
        </is>
      </c>
      <c r="H111" s="2" t="inlineStr">
        <is>
          <t>Applied clinical informatics</t>
        </is>
      </c>
      <c r="I111" s="2" t="inlineStr">
        <is>
          <t>Provider Adoption of an Online Attention Deficit Hyperactivity Disorder eHealth Care Application.</t>
        </is>
      </c>
      <c r="J111" s="2" t="inlineStr">
        <is>
          <t>To assess what practice-, provider-, and patient population-level predictors predict adoption of an ADHD ehealth technology in community pediatric settings, pediatric providers nationwide were recruited and offered free use of an evidence-based mental health-focused ehealth quality improvement intervention (mehealth for ADHD). Practice-, provider-, and patient population-level factors predicting provider's adoption of the intervention were studied. We hypothesized that providers who were younger, nearing recredentialing, having more patients with ADHD, working at larger practices, serving socioeconomically deprived patient populations, and using an electronic health record (EHR) with mehealth integration would predict higher rates of adoption.A variety of recruitment strategies were attempted. Providers completed a baseline survey, were given free access to mehealth, and then had their software adoption recorded (i.e., account activation, rate of patients registered, completion of Plan-Do-Study-Act cycles). Multiple regressions examined what practice-, provider-, and patient population-level variables predicted provider's adoption of the software.A total of 1,612 providers at 813 practices across 48 states and the District of Columbia consented to the study. The most common ways that providers heard about the research study was through word-of-mouth (37%), advertising (23%), and through professional affiliation (11%). A total of 1,210 (75.1%) providers activated their mehealth provider account and 446 (36.8%) registered at least 1 patient. Over 4.5 years, 21,804 patients were registered on the platform. Being able to access mehealth within their EHR predicted provider account activation, provider rate of patients registered, and the practice's completion of Plan-Do-Study-Act cycles. In addition, having a lower proportion of Medicaid patients predicted higher rates of patients being registered on the software.Getting providers to consider, try, and adopt new evidence-based assistive technologies is challenging. Making ehealth software easier for providers' to access through EHR integration appears critical to adoption.</t>
        </is>
      </c>
      <c r="K111" s="2" t="n"/>
      <c r="L111" s="2" t="n"/>
      <c r="M111" s="4" t="inlineStr">
        <is>
          <t>https://doi.org/10.1055/a-2562-1161</t>
        </is>
      </c>
    </row>
    <row r="112" ht="305" customHeight="1">
      <c r="A112" s="2" t="n">
        <v>111</v>
      </c>
      <c r="B112" s="2" t="inlineStr">
        <is>
          <t>R0096</t>
        </is>
      </c>
      <c r="C112" s="3" t="n"/>
      <c r="D112" s="3" t="n"/>
      <c r="E112" s="3" t="n"/>
      <c r="F112" s="2" t="n">
        <v>2023</v>
      </c>
      <c r="G112" s="2" t="inlineStr">
        <is>
          <t>Journal Article; Systematic Review</t>
        </is>
      </c>
      <c r="H112" s="2" t="inlineStr">
        <is>
          <t>PloS one</t>
        </is>
      </c>
      <c r="I112" s="2" t="inlineStr">
        <is>
          <t>Exploring facilitators and barriers of the sustainable acceptance of e-health system solutions in Ethiopia: A systematic review.</t>
        </is>
      </c>
      <c r="J112" s="2" t="inlineStr">
        <is>
          <t>BACKGROUND: eHealth is the use of information and communications technologies in support of health and health-related fields, including healthcare services, health surveillance, health literature, and health education knowledge and research, has the potential to improve the delivery and support of healthcare services by promoting information sharing and evidence-based health practice. Acceptance of e-health in Ethiopia using systematic review is uncertain. As a result, this study aimed to assess barriers and facilitators of the sustainable acceptance of e-health system adoption in Ethiopia through a systematic review of the literature. METHODS: The Preferred Reporting Items for Systematic Reviews and Meta-Analysis (PRISMA) checklist was used to conduct this study. Relevant articles have been searched in Google Scholar, Medline, PubMed, Embrace, Web of Science, Scopus, Cochrane Library, and empirical research done in Ethiopia is the main emphasis of the search strategy. The total number of studies that satisfied the criteria for inclusion was ten. In this research, empirical data related to e-health acceptance factors were retrieved, examined, and summarized by the authors. RESULTS: This systematic review identified a total of 25 predictors that have been found in the ten studies. The identified facilitators were effort expectancy, performance expectancy, facilitating conditions, social influences, attitude, computer literacy, participant age, perceived enjoyment, and educational status, duration of mobile device use, organizational culture, and habit. Moreover, technology anxiety was the most barrier to sustainable acceptance of e-health systems in Ethiopia. CONCLUSIONS: The most common facilitator identified from the predictors was effort expectancy, which played a major role in the adoption of the e-health system in Ethiopia. Therefore, eHealth implementers and managers in those settings should give users of the system priority in improving the technical infrastructure by regularly providing them with basic facilitating conditions. They should also pay attention to the system they want to implement because doing so will improve the users' perception of the system's value and attitude.</t>
        </is>
      </c>
      <c r="K112" s="2" t="n"/>
      <c r="L112" s="2" t="n"/>
      <c r="M112" s="4" t="inlineStr">
        <is>
          <t>https://doi.org/10.1371/journal.pone.0287991</t>
        </is>
      </c>
    </row>
    <row r="113" ht="32" customHeight="1">
      <c r="A113" s="2" t="n">
        <v>112</v>
      </c>
      <c r="B113" s="2" t="inlineStr">
        <is>
          <t>R0484</t>
        </is>
      </c>
      <c r="C113" s="3" t="n"/>
      <c r="D113" s="3" t="n"/>
      <c r="E113" s="3" t="n"/>
      <c r="F113" s="2" t="n">
        <v>2015</v>
      </c>
      <c r="G113" s="2" t="inlineStr">
        <is>
          <t>Journal Article</t>
        </is>
      </c>
      <c r="H113" s="2" t="inlineStr">
        <is>
          <t>MGMA connexion</t>
        </is>
      </c>
      <c r="I113" s="2" t="inlineStr">
        <is>
          <t>Personnel key to successful EHR implementation.</t>
        </is>
      </c>
      <c r="J113" s="2" t="inlineStr">
        <is>
          <t>[no abstract - screen on title, venue, and document type]</t>
        </is>
      </c>
      <c r="K113" s="2" t="n"/>
      <c r="L113" s="2" t="n"/>
      <c r="M113" s="2" t="n"/>
    </row>
    <row r="114" ht="344" customHeight="1">
      <c r="A114" s="2" t="n">
        <v>113</v>
      </c>
      <c r="B114" s="2" t="inlineStr">
        <is>
          <t>R0357</t>
        </is>
      </c>
      <c r="C114" s="3" t="n"/>
      <c r="D114" s="3" t="n"/>
      <c r="E114" s="3" t="n"/>
      <c r="F114" s="2" t="n">
        <v>2020</v>
      </c>
      <c r="G114" s="2" t="inlineStr">
        <is>
          <t>Clinical Trial Protocol; Journal Article; Research Support, N.I.H., Extramural</t>
        </is>
      </c>
      <c r="H114" s="2" t="inlineStr">
        <is>
          <t>Implementation science : IS</t>
        </is>
      </c>
      <c r="I114" s="2" t="inlineStr">
        <is>
          <t>NIATx-TI versus typical product training on e-health technology implementation: a clustered randomized controlled trial study protocol.</t>
        </is>
      </c>
      <c r="J114" s="2" t="inlineStr">
        <is>
          <t>BACKGROUND: Substance use disorders (SUDs) lead to tens-of-thousands of overdose deaths and other forms of preventable deaths in the USA each year. This results in over $500 billion per year in societal and economic costs as well as a considerable amount of grief for loved ones of affected individuals. Despite these health and societal consequences, only a small percentage of people seek treatment for SUDs, and the majority of those that seek help fail to achieve long-term sobriety. E-health applications in healthcare have proven to be effective at sustaining treatment and reaching patients traditional treatment pathways would have missed. However, e-health adoption and sustainment rates in healthcare are poor, especially in the SUD treatment sector. Implementation engineering can address this gap in the e-health field by augmenting existing implementation models, which explain organizational and individual e-health behaviors retrospectively, with prospective resources that can guide implementation. METHODS: This cluster randomized control trial is designed to test two implementation strategies at adopting an evidence-based mobile e-health technology for SUD treatment. The proposed e-health implementation model is the Network for the Improvement of Addiction Treatment-Technology Implementation (NIATx-TI) Framework. This project, based in Iowa, will compare a control condition (using a typical software product training approach that includes in-person staff training followed by access to on-line support) to software implementation utilizing NIATx-TI, which includes change management training, followed by coaching on how to implement and use the mobile application. While e-health spans many modalities and health disciplines, this project will focus on implementing the Addiction Comprehensive Health Enhancement Support System (A-CHESS), an evidence-based SUD treatment recovery app framework. This trial will be conducted in Iowa at 46 organizational sites within 12 SUD treatment agencies. The control arm consists of 23 individual treatment sites based at five organizations, and the intervention arm consists of 23 individual SUD treatment sites based at seven organizations DISCUSSION: This study addresses an issue of substantial public health significance: enhancing the uptake of the growing inventory of patient-centered evidence-based addiction treatment e-health technologies. TRIAL REGISTRATION: ClinicalTrials.gov , NCT03954184 . Posted 17 May 2019.</t>
        </is>
      </c>
      <c r="K114" s="2" t="n"/>
      <c r="L114" s="2" t="n"/>
      <c r="M114" s="4" t="inlineStr">
        <is>
          <t>https://doi.org/10.1186/s13012-020-01053-4</t>
        </is>
      </c>
    </row>
    <row r="115" ht="162" customHeight="1">
      <c r="A115" s="2" t="n">
        <v>114</v>
      </c>
      <c r="B115" s="2" t="inlineStr">
        <is>
          <t>R0576</t>
        </is>
      </c>
      <c r="C115" s="3" t="n"/>
      <c r="D115" s="3" t="n"/>
      <c r="E115" s="3" t="n"/>
      <c r="F115" s="2" t="n">
        <v>2018</v>
      </c>
      <c r="G115" s="2" t="inlineStr">
        <is>
          <t>Journal Article</t>
        </is>
      </c>
      <c r="H115" s="2" t="inlineStr">
        <is>
          <t>Studies in health technology and informatics</t>
        </is>
      </c>
      <c r="I115" s="2" t="inlineStr">
        <is>
          <t>Recommendations for Enhancing the Implementation and Utility of Shared Digital Health Records in Rural Australian Communities.</t>
        </is>
      </c>
      <c r="J115" s="2" t="inlineStr">
        <is>
          <t>Internationally, shared digital health records are becoming an important addition to improving contemporary healthcare provision. In 2012, Australia launched its version of a shared digital health record, My Health Record, but enrolment is slow and there remain challenges in its practical implementation. Further, people living with complex and chronic conditions in rural and remote communities often experience challenges in obtaining equitable access to contemporary healthcare provision, including eHealth services. This paper reports on research that explored the experience of and engagement with My Health Record, in a rural Australian community setting. Based on the key research findings, recommendations are presented for improving national roll out of My Health Record. The findings highlight, to understand and engage vulnerable communities and support their adoption and use of shared digital health records, there is a need to move away from traditional models of healthcare delivery toward person-centred care delivered from a digital complex adaptive systems perspective.</t>
        </is>
      </c>
      <c r="K115" s="2" t="n"/>
      <c r="L115" s="2" t="n"/>
      <c r="M115" s="2" t="n"/>
    </row>
    <row r="116" ht="266" customHeight="1">
      <c r="A116" s="2" t="n">
        <v>115</v>
      </c>
      <c r="B116" s="2" t="inlineStr">
        <is>
          <t>R0373</t>
        </is>
      </c>
      <c r="C116" s="3" t="n"/>
      <c r="D116" s="3" t="n"/>
      <c r="E116" s="3" t="n"/>
      <c r="F116" s="2" t="n">
        <v>2015</v>
      </c>
      <c r="G116" s="2" t="inlineStr">
        <is>
          <t>Evaluation Study; Journal Article; Research Support, Non-U.S. Gov't</t>
        </is>
      </c>
      <c r="H116" s="2" t="inlineStr">
        <is>
          <t>Journal of the American Medical Informatics Association : JAMIA</t>
        </is>
      </c>
      <c r="I116" s="2" t="inlineStr">
        <is>
          <t>Development, implementation, and initial evaluation of a foundational open interoperability standard for oncology treatment planning and summarization.</t>
        </is>
      </c>
      <c r="J116" s="2" t="inlineStr">
        <is>
          <t>OBJECTIVE: Develop and evaluate a foundational oncology-specific standard for the communication and coordination of care throughout the cancer journey, with early-stage breast cancer as the use case. MATERIALS AND METHODS: Owing to broad uptake of the Health Level Seven (HL7) Consolidated Clinical Document Architecture (C-CDA) by health information exchanges and large provider organizations, we developed an implementation guide in congruence with C-CDA. The resultant product was balloted through the HL7 process and subsequently implemented by two groups: the Health Story Project (Health Story) and the Athena Breast Health Network (Athena). RESULTS: The HL7 Implementation Guide for CDA, Release 2: Clinical Oncology Treatment Plan and Summary, DSTU Release 1 (eCOTPS) was successfully balloted and published as a Draft Standard for Trial Use (DSTU) in October 2013. Health Story successfully implemented the eCOTPS the 2014 meeting of the Healthcare Information and Management Systems Society (HIMSS) in a clinical vignette. During the evaluation and implementation of eCOPS, Athena identified two practical concerns: (1) the need for additional CDA templates specific to their use case; (2) the many-to-many mapping of Athena-defined data elements to eCOTPS. DISCUSSION: Early implementation of eCOTPS has demonstrated successful vendor-agnostic transmission of oncology-specific data. The modularity enabled by the C-CDA framework ensures the relatively straightforward expansion of the eCOTPS to include other cancer subtypes. Lessons learned during the process will strengthen future versions of the standard. CONCLUSION: eCOTPS is the first oncology-specific CDA standard to achieve HL7 DSTU status. Oncology standards will improve care throughout the cancer journey by allowing the efficient transmission of reliable, meaningful, and current clinical data between the many involved stakeholders.</t>
        </is>
      </c>
      <c r="K116" s="2" t="n"/>
      <c r="L116" s="2" t="n"/>
      <c r="M116" s="4" t="inlineStr">
        <is>
          <t>https://doi.org/10.1093/jamia/ocu015</t>
        </is>
      </c>
    </row>
    <row r="117" ht="266" customHeight="1">
      <c r="A117" s="2" t="n">
        <v>116</v>
      </c>
      <c r="B117" s="2" t="inlineStr">
        <is>
          <t>R0942</t>
        </is>
      </c>
      <c r="C117" s="3" t="n"/>
      <c r="D117" s="3" t="n"/>
      <c r="E117" s="3" t="n"/>
      <c r="F117" s="2" t="n">
        <v>2020</v>
      </c>
      <c r="G117" s="2" t="inlineStr">
        <is>
          <t>Journal Article</t>
        </is>
      </c>
      <c r="H117" s="2" t="inlineStr">
        <is>
          <t>Health care management review</t>
        </is>
      </c>
      <c r="I117" s="2" t="inlineStr">
        <is>
          <t>Resource-based view on safety culture's influence on hospital performance: The moderating role of electronic health record implementation.</t>
        </is>
      </c>
      <c r="J117" s="2" t="inlineStr">
        <is>
          <t>BACKGROUND: Patient safety and safety culture have received increasing attention from agencies such as the Agency of Healthcare Research and Quality and the Institute of Medicine. Safety culture refers to the fundamental values, attitudes, and perceptions that provide a unique source of competitive advantage to improve performance. This study contributes to the literature and expands understanding of safety culture and hospital performance outcomes when considering electronic health record (EHR) usage. PURPOSE: Based on the resource-based view of the firm, this study examined the association between safety culture and hospital quality and financial performance in the presence of EHR. METHODOLOGY/APPROACH: Data consist of the 2016 Hospital Survey on Patient Safety, Hospital Compare, American Hospital Association's annual survey, and the American Hospital Association's Information Technology supplement. Our final analytic sample consisted of 154 hospitals. We used a two-part nested regression model approach. RESULTS/CONCLUSION: Safety culture has a direct positive relationship with financial performance (operating margin). Furthermore, having basic EHR as compared to not having EHR further enhances this positive relationship. On the other hand, safety culture does not have a direct association with quality performance (readmissions) in most cases. However, safety culture coupled with basic EHR functionalities, compared to not having EHR, is associated with lower readmissions. PRACTICE IMPLICATIONS: Hospitals should strive to improve patient safety culture as part of their strategic plan for quality improvement. In addition, hospital managers should consider implementing EHR as a resource that can support safety culture's effect on outcomes such as financial and quality performance indicators. Future studies can examine the differences between basic and advanced EHR presence in relation to safety culture.</t>
        </is>
      </c>
      <c r="K117" s="2" t="n"/>
      <c r="L117" s="2" t="n"/>
      <c r="M117" s="4" t="inlineStr">
        <is>
          <t>https://doi.org/10.1097/HMR.0000000000000217</t>
        </is>
      </c>
    </row>
    <row r="118" ht="370" customHeight="1">
      <c r="A118" s="2" t="n">
        <v>117</v>
      </c>
      <c r="B118" s="2" t="inlineStr">
        <is>
          <t>R0948</t>
        </is>
      </c>
      <c r="C118" s="3" t="n"/>
      <c r="D118" s="3" t="n"/>
      <c r="E118" s="3" t="n"/>
      <c r="F118" s="2" t="n">
        <v>2020</v>
      </c>
      <c r="G118" s="2" t="inlineStr">
        <is>
          <t>Journal Article</t>
        </is>
      </c>
      <c r="H118" s="2" t="inlineStr">
        <is>
          <t>BMC cancer</t>
        </is>
      </c>
      <c r="I118" s="2" t="inlineStr">
        <is>
          <t>Using digital health to facilitate compliance with standardized pediatric cancer treatment guidelines in Tanzania: protocol for an early-stage effectiveness-implementation hybrid study.</t>
        </is>
      </c>
      <c r="J118" s="2" t="inlineStr">
        <is>
          <t>BACKGROUND: In high-income countries (HICs), increased rates of survival among pediatric cancer patients are achieved through the use of protocol-driven treatment. Compared to HICs, differences in infrastructure, supportive care, and human resources, make compliance with protocol-driven treatment challenging in low- and middle-income countries (LMICs). For successful implementation of protocol-driven treatment, treatment protocols must be resource-adapted for the LMIC context, and additional supportive tools must be developed to promote protocol compliance. In Tanzania, an LMIC where resource-adapted treatment protocols are available, digital health applications could promote protocol compliance through incorporation of systematic decision support algorithms, reminders and alerts related to patient visits, and up-to-date data for care coordination. However, evidence on the use of digital health applications in improving compliance with protocol-driven treatment for pediatric cancer is limited. This study protocol describes the development and evaluation of a digital health application, called mNavigator, to facilitate compliance with protocol-driven treatment for pediatric cancer in Tanzania. METHODS: mNavigator is a digital case management system that incorporates nationally-approved and resource-adapted treatment protocols for two pediatric cancers in Tanzania, Burkitt lymphoma and retinoblastoma. mNavigator is developed from an open-source digital health platform, called CommCare, and guided by the Consolidated Framework for Implementation Research. From July 2019-July 2020 at Bugando Medical Centre in Mwanza, Tanzania, all new pediatric cancer patients will be registered and managed using mNavigator as the new standard of care for patient intake and outcome assessment. Pediatric cancer patients with a clinical diagnosis of Burkitt lymphoma or retinoblastoma will be approached for participation in the study evaluating mNavigator. mNavigator users will document pre-treatment and treatment details for study participants using digital forms and checklists that facilitate compliance with protocol-driven treatment. Compliance with treatment protocols using mNavigator will be compared to historical compliance rates as the primary outcome. Throughout the implementation period, we will document factors that facilitate or inhibit mNavigator implementation. DISCUSSION: Study findings will inform implementation and scale up of mNavigator in tertiary pediatric cancer facilities in Tanzania, with the goal of facilitating protocol-driven treatment. TRIAL REGISTRATION: The study protocol was registered in ClinicalTrials.gov (NCT03677128) on September 19, 2018.</t>
        </is>
      </c>
      <c r="K118" s="2" t="n"/>
      <c r="L118" s="2" t="n"/>
      <c r="M118" s="4" t="inlineStr">
        <is>
          <t>https://doi.org/10.1186/s12885-020-6611-3</t>
        </is>
      </c>
    </row>
    <row r="119" ht="344" customHeight="1">
      <c r="A119" s="2" t="n">
        <v>118</v>
      </c>
      <c r="B119" s="2" t="inlineStr">
        <is>
          <t>R1428</t>
        </is>
      </c>
      <c r="C119" s="3" t="n"/>
      <c r="D119" s="3" t="n"/>
      <c r="E119" s="3" t="n"/>
      <c r="F119" s="2" t="n">
        <v>2025</v>
      </c>
      <c r="G119" s="2" t="inlineStr">
        <is>
          <t>Journal Article; Scoping Review</t>
        </is>
      </c>
      <c r="H119" s="2" t="inlineStr">
        <is>
          <t>Journal of medical Internet research</t>
        </is>
      </c>
      <c r="I119" s="2" t="inlineStr">
        <is>
          <t>Integration of Screening and Referral Tools for Social Determinants of Health and Modifiable Lifestyle Factors in the Epic Electronic Health Record System: Scoping Review.</t>
        </is>
      </c>
      <c r="J119" s="2" t="inlineStr">
        <is>
          <t>BACKGROUND: Recent health behavior interventions combine social determinants of health (SDOH) and biosocial perspectives, refocusing from the individual to broader societal contexts under the SDOH approach. Targeting modifiable health behaviors can significantly reduce disease risk and save up to 30% of health care costs. Screening tools individual and societal factors are being increasingly integrated into electronic health record (EHR) systems. Epic Systems is a leading, most adopted EHRs worldwide, with modules on SDOH and modifiable risk factors. Literature on integration and use of screening tools for SDOH and modifiable risk factors is lacking. OBJECTIVE: This review aimed to (1) summarize evidence integrating screening and referral tools for SDOH and modifiable risk factors including tobacco/alcohol use and physical inactivity in the Epic EHR; (2) synthesize findings on implementation methods, processes, clinical workflow modifications, and outcomes from integrating SDOH screening and referral tools in EHR systems; and (3) capture the major barriers, facilitators, and lessons learned across the included implementation studies. METHODS: We followed Joanna Briggs Institute's guidelines, Arksey and O'Malley's framework, and the PRISMA-ScR (Preferred Reporting Items for Systematic Reviews and Meta-Analyses extension for Scoping Reviews) checklist. We included 3 peer-reviewed databases, 2 gray literature sources, and citation chaining from related reviews and articles. RESULTS: All included studies (n=43) were from 24 US states; 26 reported quantitative methods, 12 reported mixed methods, and 6 were qualitative studies across various health settings. Most studies focused on adults, with the top 3 SDOH domains being housing, food and transportation, while physical activity, alcohol and tobacco were the most common modifiable risk factors. The top 3 SDOH domains were housing, food, and transportation, while physical activity, alcohol, and tobacco use were the most common risk factors targeted. Various screening tools were used, with the Protocol for Responding to &amp; Assessing Patients' Assets, Risks, and Experiences (PRAPARE) being used the most across 6 studies. Most integrations used enhanced support or optimized workflows, with MyChart and Best Practice Advisories being the most used Epic modules and functions. MyChart was the most patient-accepted module. Screening and referral patient outcomes varied, with many studies presenting a significant impact. [continues in next column]</t>
        </is>
      </c>
      <c r="K119" s="2" t="inlineStr">
        <is>
          <t>The most important integration facilitators included leadership support, dedicated clinical champions, and well-defined roles; barriers included clinician time, inefficient workflows, and the availability of devices and staff to ensure integrated tools' usage. CONCLUSIONS: Integration of SDOH and modifiable risk factors in the Epic EHR is being increasingly adopted to capture and target equitable health services. While Epic is among the most globally adopted EHRs, studies are primarily from the United States. Epic's SDOH wheel module is insufficient in capturing context-based SDOH and behavioral domains. Need for contextual standardization of SDOH and modifiable risk factor domains and EHR tools is being increasingly felt. Future research is needed for enhanced learning, improvement and use of built-in and customized tools, standardization, and processes for integrating targeted patient-centered interventions.</t>
        </is>
      </c>
      <c r="L119" s="2" t="n"/>
      <c r="M119" s="4" t="inlineStr">
        <is>
          <t>https://doi.org/10.2196/73615</t>
        </is>
      </c>
    </row>
    <row r="120" ht="175" customHeight="1">
      <c r="A120" s="2" t="n">
        <v>119</v>
      </c>
      <c r="B120" s="2" t="inlineStr">
        <is>
          <t>R0035</t>
        </is>
      </c>
      <c r="C120" s="3" t="n"/>
      <c r="D120" s="3" t="n"/>
      <c r="E120" s="3" t="n"/>
      <c r="F120" s="2" t="n">
        <v>2022</v>
      </c>
      <c r="G120" s="2" t="inlineStr">
        <is>
          <t>Journal Article</t>
        </is>
      </c>
      <c r="H120" s="2" t="inlineStr">
        <is>
          <t>Studies in health technology and informatics</t>
        </is>
      </c>
      <c r="I120" s="2" t="inlineStr">
        <is>
          <t>Implementation and Analysis of an Institution-Wide EHR-Integrated Handoff Note.</t>
        </is>
      </c>
      <c r="J120" s="2" t="inlineStr">
        <is>
          <t>EHR-Integrated Handoff Notes are becoming increasingly prevalent, especially among inpatient clinical service teams composed of physicians in training (resident physicians). We describe the implementation of such a tool at our institution, and then describe the usage of the tool, as well as changes made to its content, structure, and format, years after original implementation. We also describe frequency and temporal distribution of updates made to free text elements of the Handoff Note. At the initial implementation there were three versions available; medical/surgical, pediatric, and ICU. Years after implementation, 57% of clinical service teams continue to utilize the note, including all medical, pediatric, behavioral health, obstetrics/gynecology, and neurology services, as well as most surgical services, that serve as "primary" teams. Several interesting changes were noted to the content and structure of the Handoff Note, namely that more complicated versions were abandoned in favor of simpler versions. The Patient Summary and To Do free text boxes are updated an average of 1.0 and 1.6 times per day. Around 60% of updates to both free text boxes occur between 12 pm - 5:59 pm, likely in preparation for the daytime-nightime team handoff.</t>
        </is>
      </c>
      <c r="K120" s="2" t="n"/>
      <c r="L120" s="2" t="n"/>
      <c r="M120" s="4" t="inlineStr">
        <is>
          <t>https://doi.org/10.3233/SHTI220103</t>
        </is>
      </c>
    </row>
    <row r="121" ht="357" customHeight="1">
      <c r="A121" s="2" t="n">
        <v>120</v>
      </c>
      <c r="B121" s="2" t="inlineStr">
        <is>
          <t>R0623</t>
        </is>
      </c>
      <c r="C121" s="3" t="n"/>
      <c r="D121" s="3" t="n"/>
      <c r="E121" s="3" t="n"/>
      <c r="F121" s="2" t="n">
        <v>2022</v>
      </c>
      <c r="G121" s="2" t="inlineStr">
        <is>
          <t>Journal Article</t>
        </is>
      </c>
      <c r="H121" s="2" t="inlineStr">
        <is>
          <t>JMIR formative research</t>
        </is>
      </c>
      <c r="I121" s="2" t="inlineStr">
        <is>
          <t>A Self-help Tool to Facilitate Implementation of eHealth Initiatives in Health Care (E-Ready): Formative Evaluation.</t>
        </is>
      </c>
      <c r="J121" s="2" t="inlineStr">
        <is>
          <t>BACKGROUND: eHealth interventions have the potential to increase the efficiency and effectiveness of health care. However, research has shown that implementing eHealth in routine health care practice is difficult. Organizational readiness to change has been shown to be central to successful implementation. This paper describes the development and formative evaluation of a generic self-help tool, E-Ready, designed to be used by managers, project leaders, or others responsible for implementation in a broad range of health care settings. OBJECTIVE: The aim of this study is to develop and evaluate a tool that could facilitate eHealth implementation in, for example, health care. METHODS: A first version of the tool was generated based on implementation theory (E-Ready 1.0). A formative evaluation was undertaken through expert panels (n=15), cognitive interviews (n=17), and assessment of measurement properties on E-Ready items from 3 different workplaces (n=165) using Rasch analyses. E-Ready 1.0 was also field tested among the target population (n=29). Iterative revisions were conducted during the formative evaluation process, and E-Ready 2.0 was generated. RESULTS: The E-Ready Tool consists of a readiness assessment survey and a hands-on manual. The survey measures perceived readiness for change (willingness and capability) at individual and collective levels: perceived conditions for change at the workplace, perceived individual conditions for change, perceived support and engagement among management, perceived readiness among colleagues, perceived consequences on status quo, and perceived workplace attitudes. The manual contains a brief introduction, instructions on how to use the tool, information on the themes of E-Ready, instructions on how to create an implementation plan, brief advice for success, and tips for further reading on implementation theory. Rasch analyses showed overall acceptable measurement properties in terms of fit validity. The subscale Individual conditions for change (3 items) had the lowest person reliability (0.56), whereas Perceived consequences on status quo (5 items) had the highest person reliability (0.87). CONCLUSIONS: E-Ready 2.0 is a new self-help tool to guide implementation targeting health care provider readiness and engagement readiness ahead of eHealth initiatives in, for example, health care settings. E-Ready can be improved further to capture additional aspects of implementation; improvements can also be made by evaluating the tool in a larger sample.</t>
        </is>
      </c>
      <c r="K121" s="2" t="n"/>
      <c r="L121" s="2" t="n"/>
      <c r="M121" s="4" t="inlineStr">
        <is>
          <t>https://doi.org/10.2196/17568</t>
        </is>
      </c>
    </row>
    <row r="122" ht="305" customHeight="1">
      <c r="A122" s="2" t="n">
        <v>121</v>
      </c>
      <c r="B122" s="2" t="inlineStr">
        <is>
          <t>R0207</t>
        </is>
      </c>
      <c r="C122" s="3" t="n"/>
      <c r="D122" s="3" t="n"/>
      <c r="E122" s="3" t="n"/>
      <c r="F122" s="2" t="n">
        <v>2024</v>
      </c>
      <c r="G122" s="2" t="inlineStr">
        <is>
          <t>Journal Article</t>
        </is>
      </c>
      <c r="H122" s="2" t="inlineStr">
        <is>
          <t>Frontiers in public health</t>
        </is>
      </c>
      <c r="I122" s="2" t="inlineStr">
        <is>
          <t>Acceptance of electronic referrals across the Kingdom of Saudi Arabia: results from a national e-health database.</t>
        </is>
      </c>
      <c r="J122" s="2" t="inlineStr">
        <is>
          <t>INTRODUCTION: An effective referral system is necessary to ensure quality and an optimum continuum of care. In the Kingdom of Saudi Arabia, an e-referral system known as the Saudi Medical Appointments and Referrals Centre (SMARC), has been fully functioning since 2019. This study aims to explore the rate of medical e-referral request acceptance in the KSA, and to study the factors associated with acceptance. METHODS: This period cross-sectional study utilised secondary collected data from the SMARC e-referral system. The data spans both 2020 and 2021 and covers the entirety of the KSA. Bivariate analyses and binary logistic regression analyses were performed to compute adjusted Odds Ratios (aORs) and 95% confidence intervals. RESULTS: Of the total 632,763 referral requests across the 2 years, 469,073 requests (74.13%) were accepted. Absence of available machinery was a significant predictor for referral acceptance compared to other reasons. Acceptance was highest for children under 14 with 28,956 (75.48%) and 63,979 (75.48%) accepted referrals, respectively. Patients requiring critical care from all age groups also had the highest acceptance including 6,237 referrals for paediatric intensive care unit (83.54%) and 34,126 referrals for intensive care unit (79.65%). All lifesaving referrals, 42,087 referrals, were accepted (100.00%). Psychiatric patients were observed to have the highest proportion for accepted referrals with 8,170 requests (82.50%) followed by organ transplantations with 1,005 requests (80.92%). Sex was seen to be a significant predictor for referrals, where the odds of acceptances for females increased by 2% compared to their male counterparts (95% CI = 1.01-1.04). Also, proportion of acceptance was highest for the Eastern business unit compared to all other units. External referrals were 32% less likely to be accepted than internal referrals (95% CI = 0.67-0.69). CONCLUSION: The current findings indicate that the e-referral system is mostly able to cater to the health services of the most vulnerable of patients. However, there remains areas for health policy improvement, especially in terms of resource allocation.</t>
        </is>
      </c>
      <c r="K122" s="2" t="n"/>
      <c r="L122" s="2" t="n"/>
      <c r="M122" s="4" t="inlineStr">
        <is>
          <t>https://doi.org/10.3389/fpubh.2024.1337138</t>
        </is>
      </c>
    </row>
    <row r="123" ht="188" customHeight="1">
      <c r="A123" s="2" t="n">
        <v>122</v>
      </c>
      <c r="B123" s="2" t="inlineStr">
        <is>
          <t>R1678</t>
        </is>
      </c>
      <c r="C123" s="3" t="n"/>
      <c r="D123" s="3" t="n"/>
      <c r="E123" s="3" t="n"/>
      <c r="F123" s="2" t="n">
        <v>2025</v>
      </c>
      <c r="G123" s="2" t="inlineStr">
        <is>
          <t>IEEE Conferences</t>
        </is>
      </c>
      <c r="H123" s="2" t="inlineStr">
        <is>
          <t>2025 International Conference on Information Management and Technology (ICIMTech)</t>
        </is>
      </c>
      <c r="I123" s="2" t="inlineStr">
        <is>
          <t>Developing Fast Healthcare Interoperability Resources Implementation Guide for Indonesian Health Services</t>
        </is>
      </c>
      <c r="J123" s="2" t="inlineStr">
        <is>
          <t>Fast Healthcare Interoperability Resources (FHIR) is an emerging global standard for health data exchange, which is increasingly being adopted in national platforms, such as Indonesia’s SATUSEHAT. However, Indonesia currently lacks domain-specific FHIR Implementation Guides (IG), limiting consistent data modeling, validation, and exchange across health systems. This study uses an Action Design Research (ADR) approach to develop a FHIR IG for antenatal care (ANC) services in Sampang, East Java, guided by the WHO SMART Guidelines. The development process involved defining scope and requirements, modeling FHIR profiles, and validating the IG using standard tools. Supporting workflows and architecture were documented using UML and ArchiMate 3.2. The IG was authored in FHIR Shorthand (FSH), starting with the conversion of the SATUSEHAT Core IG from Forge using GoFSH. Validation included unit testing with SUSHI and Firely Terminal, and system testing with HAPI FHIR to ensure interoperability for the antenatal care dataset. The IG focuses on Logical Models, Value Sets, Code Systems, and Profiles. Findings emphasize the urgent need for reusable, standards-aligned components and strong stakeholder engagement to support interoperable, scalable digital health systems in Indonesia.</t>
        </is>
      </c>
      <c r="K123" s="2" t="n"/>
      <c r="L123" s="2" t="n"/>
      <c r="M123" s="4" t="inlineStr">
        <is>
          <t>https://doi.org/10.1109/ICIMTech67074.2025.11265535</t>
        </is>
      </c>
    </row>
    <row r="124" ht="214" customHeight="1">
      <c r="A124" s="2" t="n">
        <v>123</v>
      </c>
      <c r="B124" s="2" t="inlineStr">
        <is>
          <t>R0220</t>
        </is>
      </c>
      <c r="C124" s="3" t="n"/>
      <c r="D124" s="3" t="n"/>
      <c r="E124" s="3" t="n"/>
      <c r="F124" s="2" t="n">
        <v>2016</v>
      </c>
      <c r="G124" s="2" t="inlineStr">
        <is>
          <t>Journal Article; Observational Study</t>
        </is>
      </c>
      <c r="H124" s="2" t="inlineStr">
        <is>
          <t>International journal of health care quality assurance</t>
        </is>
      </c>
      <c r="I124" s="2" t="inlineStr">
        <is>
          <t>Recommendations for health information technology implementation in rural hospitals.</t>
        </is>
      </c>
      <c r="J124" s="2" t="inlineStr">
        <is>
          <t>Purpose - The purpose of this paper is to investigate violations against work standards associated with using a new health information technology (HIT) system. Relevant recommendations for implementing HIT in rural hospitals are provided and discussed to achieve meaningful use. Design/methodology/approach - An observational study is conducted to map medication administration process while using a HIT system in a rural hospital. Follow-up focus groups are held to determine and verify potential adverse factors related to using the HIT system while passing drugs to patients. Findings - A detailed task analysis demonstrated several violations, such as only relying on the barcode scanning system to match up with patient and drugs could potentially result in the medical staff forgetting to provide drug information verbally before administering drugs. There was also a lack of regulated and clear work procedure in using the new HIT system. In addition, the computer system controls and displays could not be adjusted so as to satisfy the users' expectations. Nurses prepared medications and documentation in an environment that was prone to interruptions. Originality/value - Recommendations for implementing a HIT system in rural healthcare facilities can be categorized into five areas: people, tasks, tools, environment, and organization. Detailed remedial measures are provided for achieving continuous process improvements at resource-limited healthcare facilities in rural areas.</t>
        </is>
      </c>
      <c r="K124" s="2" t="n"/>
      <c r="L124" s="2" t="n"/>
      <c r="M124" s="4" t="inlineStr">
        <is>
          <t>https://doi.org/10.1108/IJHCQA-09-2015-0115</t>
        </is>
      </c>
    </row>
    <row r="125" ht="266" customHeight="1">
      <c r="A125" s="2" t="n">
        <v>124</v>
      </c>
      <c r="B125" s="2" t="inlineStr">
        <is>
          <t>R0887</t>
        </is>
      </c>
      <c r="C125" s="3" t="n"/>
      <c r="D125" s="3" t="n"/>
      <c r="E125" s="3" t="n"/>
      <c r="F125" s="2" t="n">
        <v>2022</v>
      </c>
      <c r="G125" s="2" t="inlineStr">
        <is>
          <t>Journal Article</t>
        </is>
      </c>
      <c r="H125" s="2" t="inlineStr">
        <is>
          <t>American journal of medical quality : the official journal of the American College of Medical Quality</t>
        </is>
      </c>
      <c r="I125" s="2" t="inlineStr">
        <is>
          <t>Implementation of an Electronic Health Record Integrated Clinical Pathway Improves Adherence to COVID-19 Hospital Care Guidelines.</t>
        </is>
      </c>
      <c r="J125" s="2" t="inlineStr">
        <is>
          <t>BACKGROUND: During the COVID-19 pandemic, frequently changing guidelines presented challenges to emergency department (ED) clinicians. The authors implemented an electronic health record (EHR)-integrated clinical pathway that could be accessed by clinicians within existing workflows when caring for patients under investigation (PUI) for COVID-19. The objective was to examine the association between clinical pathway utilization and adherence to institutional best practice treatment recommendations for COVID-19. METHODS: The authors conducted an observational analysis of all ED patients seen in a health system inclusive of seven EDs between March 18, 2020, and April 20, 2021. They implemented the pathway as an interactive flow chart that allowed clinicians to place orders while viewing the most up-to-date institutional guidance. Primary outcomes were proportion of admitted PUIs receiving dexamethasone and aspirin in the ED, and secondary outcome was time to delivering treatment. RESULTS: A total of 13 269 patients were admitted PUIs. The pathway was used by 40.6% of ED clinicians. When clinicians used the pathway, patients were more likely to be prescribed aspirin (OR, 7.15; 95% CI, 6.2-8.26) and dexamethasone (10.4; 8.85-12.2). For secondary outcomes, clinicians using the pathway had statistically significant ( P &lt; 0.0001) improvement in timeliness of ordering medications and admission to the hospital. Aspirin, dexamethasone, and admission order time were improved by 103.89, 94.34, and 121.94 minutes, respectively. CONCLUSIONS: The use of an EHR-integrated clinical pathway improved clinician adherence to changing COVID-19 treatment guidelines and timeliness to associated medication administration. As pathways continue to be implemented, their effects on improving patient outcomes and decreasing disparities in patient care should be further examined.</t>
        </is>
      </c>
      <c r="K125" s="2" t="n"/>
      <c r="L125" s="2" t="n"/>
      <c r="M125" s="4" t="inlineStr">
        <is>
          <t>https://doi.org/10.1097/JMQ.0000000000000036</t>
        </is>
      </c>
    </row>
    <row r="126" ht="58" customHeight="1">
      <c r="A126" s="2" t="n">
        <v>125</v>
      </c>
      <c r="B126" s="2" t="inlineStr">
        <is>
          <t>R0492</t>
        </is>
      </c>
      <c r="C126" s="3" t="n"/>
      <c r="D126" s="3" t="n"/>
      <c r="E126" s="3" t="n"/>
      <c r="F126" s="2" t="n">
        <v>2015</v>
      </c>
      <c r="G126" s="2" t="inlineStr">
        <is>
          <t>Journal Article</t>
        </is>
      </c>
      <c r="H126" s="2" t="inlineStr">
        <is>
          <t>Managed care (Langhorne, Pa.)</t>
        </is>
      </c>
      <c r="I126" s="2" t="inlineStr">
        <is>
          <t>Digital Health Technology Adoption Depends On Tech Comfort Level, Willingness to Pay.</t>
        </is>
      </c>
      <c r="J126" s="2" t="inlineStr">
        <is>
          <t>[no abstract - screen on title, venue, and document type]</t>
        </is>
      </c>
      <c r="K126" s="2" t="n"/>
      <c r="L126" s="2" t="n"/>
      <c r="M126" s="2" t="n"/>
    </row>
    <row r="127" ht="253" customHeight="1">
      <c r="A127" s="2" t="n">
        <v>126</v>
      </c>
      <c r="B127" s="2" t="inlineStr">
        <is>
          <t>R0997</t>
        </is>
      </c>
      <c r="C127" s="3" t="n"/>
      <c r="D127" s="3" t="n"/>
      <c r="E127" s="3" t="n"/>
      <c r="F127" s="2" t="n">
        <v>2024</v>
      </c>
      <c r="G127" s="2" t="inlineStr">
        <is>
          <t>Journal Article</t>
        </is>
      </c>
      <c r="H127" s="2" t="inlineStr">
        <is>
          <t>Annals of emergency medicine</t>
        </is>
      </c>
      <c r="I127" s="2" t="inlineStr">
        <is>
          <t>Implementation of Electronic Health Record Integration and Clinical Decision Support to Improve Emergency Department Prescription Drug Monitoring Program Use.</t>
        </is>
      </c>
      <c r="J127" s="2" t="inlineStr">
        <is>
          <t>STUDY OBJECTIVE(S): To evaluate the implementation of 3 electronic health record (EHR)-based interventions to increase prescription drug monitoring program (PDMP) use in the emergency department (ED): EHR-PDMP integration, addition of a PDMP risk score, and addition of EHR-based clinical decision support alert to review the PDMP when prescribing an opioid. METHODS: Three intervention stages were implemented using a prospective stepped-wedge design at 5 university-affiliated EDs split into 3 practice groups. The PDMP use and prescribing rates during the 3 stages were compared with baseline before EHR integration and a sustainability stage where the clinical decision support alert was removed, but EHR integration and risk score remained. Generalized linear mixed model with logit link function and a random intercept for clinicians was analyzed. RESULTS: The ED provider PDMP review before opioid prescribing was low in all stages. The highest review rate occurred during interruptive clinical decision support alerts, 23.8% (interquartile range 10.6 to 37.5). Overall, opioid prescribing declined, and PDMP review was not associated with a decrease in opioid prescribing. PDMP review was associated with a reduction in the probability of prescribing an opioid as the number of prior opioid prescriptions increased (odds ratio: 0.92 [95% confidence interval: 0.91 to 0.94] for every additional prescription). CONCLUSION: The EHR-PDMP integration did not increase PDMP use in the ED, but a PDMP risk score and a clinical decision support alert were associated with modest increases in the probability of PDMP review. When the PDMP is reviewed, ED clinicians are less likely to prescribe opioids to patients with a high number of prior opioid prescriptions.</t>
        </is>
      </c>
      <c r="K127" s="2" t="n"/>
      <c r="L127" s="2" t="n"/>
      <c r="M127" s="4" t="inlineStr">
        <is>
          <t>https://doi.org/10.1016/j.annemergmed.2023.07.002</t>
        </is>
      </c>
    </row>
  </sheetData>
  <autoFilter ref="A1:M127"/>
  <dataValidations count="2">
    <dataValidation sqref="C2:C127" showDropDown="0" showInputMessage="0" showErrorMessage="1" allowBlank="1" errorTitle="Pick from the list" error="Choose INCLUDE, EXCLUDE, or MAYBE." type="list">
      <formula1>"INCLUDE,EXCLUDE,MAYBE"</formula1>
    </dataValidation>
    <dataValidation sqref="D2:D127" showDropDown="0" showInputMessage="0" showErrorMessage="1" allowBlank="1" errorTitle="Pick from the list" error="Choose one reason code (see the Guide sheet). Leave blank unless EXCLUDE." type="list">
      <formula1>"E1,E2,E3,E4,E6,X1,X2,X3,X4,X5"</formula1>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10" r:id="rId7"/>
    <hyperlink xmlns:r="http://schemas.openxmlformats.org/officeDocument/2006/relationships" ref="M11" r:id="rId8"/>
    <hyperlink xmlns:r="http://schemas.openxmlformats.org/officeDocument/2006/relationships" ref="M12" r:id="rId9"/>
    <hyperlink xmlns:r="http://schemas.openxmlformats.org/officeDocument/2006/relationships" ref="M13" r:id="rId10"/>
    <hyperlink xmlns:r="http://schemas.openxmlformats.org/officeDocument/2006/relationships" ref="M14" r:id="rId11"/>
    <hyperlink xmlns:r="http://schemas.openxmlformats.org/officeDocument/2006/relationships" ref="M15" r:id="rId12"/>
    <hyperlink xmlns:r="http://schemas.openxmlformats.org/officeDocument/2006/relationships" ref="M16" r:id="rId13"/>
    <hyperlink xmlns:r="http://schemas.openxmlformats.org/officeDocument/2006/relationships" ref="M17" r:id="rId14"/>
    <hyperlink xmlns:r="http://schemas.openxmlformats.org/officeDocument/2006/relationships" ref="M18" r:id="rId15"/>
    <hyperlink xmlns:r="http://schemas.openxmlformats.org/officeDocument/2006/relationships" ref="M19" r:id="rId16"/>
    <hyperlink xmlns:r="http://schemas.openxmlformats.org/officeDocument/2006/relationships" ref="M20" r:id="rId17"/>
    <hyperlink xmlns:r="http://schemas.openxmlformats.org/officeDocument/2006/relationships" ref="M21" r:id="rId18"/>
    <hyperlink xmlns:r="http://schemas.openxmlformats.org/officeDocument/2006/relationships" ref="M22" r:id="rId19"/>
    <hyperlink xmlns:r="http://schemas.openxmlformats.org/officeDocument/2006/relationships" ref="M23" r:id="rId20"/>
    <hyperlink xmlns:r="http://schemas.openxmlformats.org/officeDocument/2006/relationships" ref="M24" r:id="rId21"/>
    <hyperlink xmlns:r="http://schemas.openxmlformats.org/officeDocument/2006/relationships" ref="M25" r:id="rId22"/>
    <hyperlink xmlns:r="http://schemas.openxmlformats.org/officeDocument/2006/relationships" ref="M26" r:id="rId23"/>
    <hyperlink xmlns:r="http://schemas.openxmlformats.org/officeDocument/2006/relationships" ref="M27" r:id="rId24"/>
    <hyperlink xmlns:r="http://schemas.openxmlformats.org/officeDocument/2006/relationships" ref="M28" r:id="rId25"/>
    <hyperlink xmlns:r="http://schemas.openxmlformats.org/officeDocument/2006/relationships" ref="M29"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7" r:id="rId32"/>
    <hyperlink xmlns:r="http://schemas.openxmlformats.org/officeDocument/2006/relationships" ref="M38" r:id="rId33"/>
    <hyperlink xmlns:r="http://schemas.openxmlformats.org/officeDocument/2006/relationships" ref="M39" r:id="rId34"/>
    <hyperlink xmlns:r="http://schemas.openxmlformats.org/officeDocument/2006/relationships" ref="M40" r:id="rId35"/>
    <hyperlink xmlns:r="http://schemas.openxmlformats.org/officeDocument/2006/relationships" ref="M41" r:id="rId36"/>
    <hyperlink xmlns:r="http://schemas.openxmlformats.org/officeDocument/2006/relationships" ref="M42" r:id="rId37"/>
    <hyperlink xmlns:r="http://schemas.openxmlformats.org/officeDocument/2006/relationships" ref="M43" r:id="rId38"/>
    <hyperlink xmlns:r="http://schemas.openxmlformats.org/officeDocument/2006/relationships" ref="M44" r:id="rId39"/>
    <hyperlink xmlns:r="http://schemas.openxmlformats.org/officeDocument/2006/relationships" ref="M45" r:id="rId40"/>
    <hyperlink xmlns:r="http://schemas.openxmlformats.org/officeDocument/2006/relationships" ref="M46" r:id="rId41"/>
    <hyperlink xmlns:r="http://schemas.openxmlformats.org/officeDocument/2006/relationships" ref="M47" r:id="rId42"/>
    <hyperlink xmlns:r="http://schemas.openxmlformats.org/officeDocument/2006/relationships" ref="M48" r:id="rId43"/>
    <hyperlink xmlns:r="http://schemas.openxmlformats.org/officeDocument/2006/relationships" ref="M49" r:id="rId44"/>
    <hyperlink xmlns:r="http://schemas.openxmlformats.org/officeDocument/2006/relationships" ref="M50" r:id="rId45"/>
    <hyperlink xmlns:r="http://schemas.openxmlformats.org/officeDocument/2006/relationships" ref="M51" r:id="rId46"/>
    <hyperlink xmlns:r="http://schemas.openxmlformats.org/officeDocument/2006/relationships" ref="M52" r:id="rId47"/>
    <hyperlink xmlns:r="http://schemas.openxmlformats.org/officeDocument/2006/relationships" ref="M53" r:id="rId48"/>
    <hyperlink xmlns:r="http://schemas.openxmlformats.org/officeDocument/2006/relationships" ref="M54" r:id="rId49"/>
    <hyperlink xmlns:r="http://schemas.openxmlformats.org/officeDocument/2006/relationships" ref="M55" r:id="rId50"/>
    <hyperlink xmlns:r="http://schemas.openxmlformats.org/officeDocument/2006/relationships" ref="M56" r:id="rId51"/>
    <hyperlink xmlns:r="http://schemas.openxmlformats.org/officeDocument/2006/relationships" ref="M57" r:id="rId52"/>
    <hyperlink xmlns:r="http://schemas.openxmlformats.org/officeDocument/2006/relationships" ref="M58" r:id="rId53"/>
    <hyperlink xmlns:r="http://schemas.openxmlformats.org/officeDocument/2006/relationships" ref="M60" r:id="rId54"/>
    <hyperlink xmlns:r="http://schemas.openxmlformats.org/officeDocument/2006/relationships" ref="M61" r:id="rId55"/>
    <hyperlink xmlns:r="http://schemas.openxmlformats.org/officeDocument/2006/relationships" ref="M62" r:id="rId56"/>
    <hyperlink xmlns:r="http://schemas.openxmlformats.org/officeDocument/2006/relationships" ref="M63" r:id="rId57"/>
    <hyperlink xmlns:r="http://schemas.openxmlformats.org/officeDocument/2006/relationships" ref="M64" r:id="rId58"/>
    <hyperlink xmlns:r="http://schemas.openxmlformats.org/officeDocument/2006/relationships" ref="M65" r:id="rId59"/>
    <hyperlink xmlns:r="http://schemas.openxmlformats.org/officeDocument/2006/relationships" ref="M66" r:id="rId60"/>
    <hyperlink xmlns:r="http://schemas.openxmlformats.org/officeDocument/2006/relationships" ref="M67" r:id="rId61"/>
    <hyperlink xmlns:r="http://schemas.openxmlformats.org/officeDocument/2006/relationships" ref="M68" r:id="rId62"/>
    <hyperlink xmlns:r="http://schemas.openxmlformats.org/officeDocument/2006/relationships" ref="M69" r:id="rId63"/>
    <hyperlink xmlns:r="http://schemas.openxmlformats.org/officeDocument/2006/relationships" ref="M70" r:id="rId64"/>
    <hyperlink xmlns:r="http://schemas.openxmlformats.org/officeDocument/2006/relationships" ref="M71" r:id="rId65"/>
    <hyperlink xmlns:r="http://schemas.openxmlformats.org/officeDocument/2006/relationships" ref="M72" r:id="rId66"/>
    <hyperlink xmlns:r="http://schemas.openxmlformats.org/officeDocument/2006/relationships" ref="M73" r:id="rId67"/>
    <hyperlink xmlns:r="http://schemas.openxmlformats.org/officeDocument/2006/relationships" ref="M75" r:id="rId68"/>
    <hyperlink xmlns:r="http://schemas.openxmlformats.org/officeDocument/2006/relationships" ref="M76" r:id="rId69"/>
    <hyperlink xmlns:r="http://schemas.openxmlformats.org/officeDocument/2006/relationships" ref="M77" r:id="rId70"/>
    <hyperlink xmlns:r="http://schemas.openxmlformats.org/officeDocument/2006/relationships" ref="M78" r:id="rId71"/>
    <hyperlink xmlns:r="http://schemas.openxmlformats.org/officeDocument/2006/relationships" ref="M79" r:id="rId72"/>
    <hyperlink xmlns:r="http://schemas.openxmlformats.org/officeDocument/2006/relationships" ref="M80" r:id="rId73"/>
    <hyperlink xmlns:r="http://schemas.openxmlformats.org/officeDocument/2006/relationships" ref="M81" r:id="rId74"/>
    <hyperlink xmlns:r="http://schemas.openxmlformats.org/officeDocument/2006/relationships" ref="M82" r:id="rId75"/>
    <hyperlink xmlns:r="http://schemas.openxmlformats.org/officeDocument/2006/relationships" ref="M83" r:id="rId76"/>
    <hyperlink xmlns:r="http://schemas.openxmlformats.org/officeDocument/2006/relationships" ref="M84" r:id="rId77"/>
    <hyperlink xmlns:r="http://schemas.openxmlformats.org/officeDocument/2006/relationships" ref="M85" r:id="rId78"/>
    <hyperlink xmlns:r="http://schemas.openxmlformats.org/officeDocument/2006/relationships" ref="M86" r:id="rId79"/>
    <hyperlink xmlns:r="http://schemas.openxmlformats.org/officeDocument/2006/relationships" ref="M87" r:id="rId80"/>
    <hyperlink xmlns:r="http://schemas.openxmlformats.org/officeDocument/2006/relationships" ref="M88" r:id="rId81"/>
    <hyperlink xmlns:r="http://schemas.openxmlformats.org/officeDocument/2006/relationships" ref="M90" r:id="rId82"/>
    <hyperlink xmlns:r="http://schemas.openxmlformats.org/officeDocument/2006/relationships" ref="M91" r:id="rId83"/>
    <hyperlink xmlns:r="http://schemas.openxmlformats.org/officeDocument/2006/relationships" ref="M92" r:id="rId84"/>
    <hyperlink xmlns:r="http://schemas.openxmlformats.org/officeDocument/2006/relationships" ref="M93" r:id="rId85"/>
    <hyperlink xmlns:r="http://schemas.openxmlformats.org/officeDocument/2006/relationships" ref="M94" r:id="rId86"/>
    <hyperlink xmlns:r="http://schemas.openxmlformats.org/officeDocument/2006/relationships" ref="M95" r:id="rId87"/>
    <hyperlink xmlns:r="http://schemas.openxmlformats.org/officeDocument/2006/relationships" ref="M96" r:id="rId88"/>
    <hyperlink xmlns:r="http://schemas.openxmlformats.org/officeDocument/2006/relationships" ref="M97" r:id="rId89"/>
    <hyperlink xmlns:r="http://schemas.openxmlformats.org/officeDocument/2006/relationships" ref="M98" r:id="rId90"/>
    <hyperlink xmlns:r="http://schemas.openxmlformats.org/officeDocument/2006/relationships" ref="M99" r:id="rId91"/>
    <hyperlink xmlns:r="http://schemas.openxmlformats.org/officeDocument/2006/relationships" ref="M100" r:id="rId92"/>
    <hyperlink xmlns:r="http://schemas.openxmlformats.org/officeDocument/2006/relationships" ref="M101" r:id="rId93"/>
    <hyperlink xmlns:r="http://schemas.openxmlformats.org/officeDocument/2006/relationships" ref="M103" r:id="rId94"/>
    <hyperlink xmlns:r="http://schemas.openxmlformats.org/officeDocument/2006/relationships" ref="M104" r:id="rId95"/>
    <hyperlink xmlns:r="http://schemas.openxmlformats.org/officeDocument/2006/relationships" ref="M105" r:id="rId96"/>
    <hyperlink xmlns:r="http://schemas.openxmlformats.org/officeDocument/2006/relationships" ref="M106" r:id="rId97"/>
    <hyperlink xmlns:r="http://schemas.openxmlformats.org/officeDocument/2006/relationships" ref="M107" r:id="rId98"/>
    <hyperlink xmlns:r="http://schemas.openxmlformats.org/officeDocument/2006/relationships" ref="M108" r:id="rId99"/>
    <hyperlink xmlns:r="http://schemas.openxmlformats.org/officeDocument/2006/relationships" ref="M109" r:id="rId100"/>
    <hyperlink xmlns:r="http://schemas.openxmlformats.org/officeDocument/2006/relationships" ref="M110" r:id="rId101"/>
    <hyperlink xmlns:r="http://schemas.openxmlformats.org/officeDocument/2006/relationships" ref="M111" r:id="rId102"/>
    <hyperlink xmlns:r="http://schemas.openxmlformats.org/officeDocument/2006/relationships" ref="M112" r:id="rId103"/>
    <hyperlink xmlns:r="http://schemas.openxmlformats.org/officeDocument/2006/relationships" ref="M114" r:id="rId104"/>
    <hyperlink xmlns:r="http://schemas.openxmlformats.org/officeDocument/2006/relationships" ref="M116" r:id="rId105"/>
    <hyperlink xmlns:r="http://schemas.openxmlformats.org/officeDocument/2006/relationships" ref="M117" r:id="rId106"/>
    <hyperlink xmlns:r="http://schemas.openxmlformats.org/officeDocument/2006/relationships" ref="M118" r:id="rId107"/>
    <hyperlink xmlns:r="http://schemas.openxmlformats.org/officeDocument/2006/relationships" ref="M119" r:id="rId108"/>
    <hyperlink xmlns:r="http://schemas.openxmlformats.org/officeDocument/2006/relationships" ref="M120" r:id="rId109"/>
    <hyperlink xmlns:r="http://schemas.openxmlformats.org/officeDocument/2006/relationships" ref="M121" r:id="rId110"/>
    <hyperlink xmlns:r="http://schemas.openxmlformats.org/officeDocument/2006/relationships" ref="M122" r:id="rId111"/>
    <hyperlink xmlns:r="http://schemas.openxmlformats.org/officeDocument/2006/relationships" ref="M123" r:id="rId112"/>
    <hyperlink xmlns:r="http://schemas.openxmlformats.org/officeDocument/2006/relationships" ref="M124" r:id="rId113"/>
    <hyperlink xmlns:r="http://schemas.openxmlformats.org/officeDocument/2006/relationships" ref="M125" r:id="rId114"/>
    <hyperlink xmlns:r="http://schemas.openxmlformats.org/officeDocument/2006/relationships" ref="M127" r:id="rId1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00" customWidth="1" min="3" max="3"/>
  </cols>
  <sheetData>
    <row r="1">
      <c r="A1" s="5" t="inlineStr">
        <is>
          <t>Human adjudication: blinded sheet</t>
        </is>
      </c>
    </row>
    <row r="3">
      <c r="A3" s="6" t="inlineStr">
        <is>
          <t>Progress</t>
        </is>
      </c>
    </row>
    <row r="4">
      <c r="A4" s="7" t="inlineStr">
        <is>
          <t>Records in the sheet</t>
        </is>
      </c>
      <c r="B4" s="7">
        <f>COUNTA(Adjudication!$B$2:$B$127)</f>
        <v/>
      </c>
    </row>
    <row r="5">
      <c r="A5" s="7" t="inlineStr">
        <is>
          <t>Decisions entered</t>
        </is>
      </c>
      <c r="B5" s="7">
        <f>COUNTA(Adjudication!$C$2:$C$127)</f>
        <v/>
      </c>
    </row>
    <row r="6">
      <c r="A6" s="7" t="inlineStr">
        <is>
          <t>Still to do</t>
        </is>
      </c>
      <c r="B6" s="7">
        <f>B4-B5</f>
        <v/>
      </c>
    </row>
    <row r="7">
      <c r="A7" s="7" t="inlineStr">
        <is>
          <t>EXCLUDE with no reason code</t>
        </is>
      </c>
      <c r="B7" s="7">
        <f>COUNTIFS(Adjudication!$C$2:$C$127,"EXCLUDE",Adjudication!$D$2:$D$127,"")</f>
        <v/>
      </c>
      <c r="C7" s="7" t="inlineStr">
        <is>
          <t>Should be 0 when you finish.</t>
        </is>
      </c>
    </row>
    <row r="9">
      <c r="A9" s="6" t="inlineStr">
        <is>
          <t>How to fill it in</t>
        </is>
      </c>
    </row>
    <row r="10" ht="30" customHeight="1">
      <c r="A10" s="7" t="inlineStr">
        <is>
          <t>Step 1</t>
        </is>
      </c>
      <c r="B10" s="7" t="inlineStr">
        <is>
          <t>Fill in only the three yellow columns on the Adjudication sheet: your_decision, your_reason_code, your_notes.</t>
        </is>
      </c>
    </row>
    <row r="11" ht="30" customHeight="1">
      <c r="A11" s="7" t="inlineStr">
        <is>
          <t>Step 2</t>
        </is>
      </c>
      <c r="B11" s="7" t="inlineStr">
        <is>
          <t>Decide on the title and abstract only (plus year, venue, and document type), not the full paper. If there is no abstract, use the title, venue, and document type.</t>
        </is>
      </c>
    </row>
    <row r="12" ht="30" customHeight="1">
      <c r="A12" s="7" t="inlineStr">
        <is>
          <t>Step 3</t>
        </is>
      </c>
      <c r="B12" s="7" t="inlineStr">
        <is>
          <t>A long abstract continues in the abstract_continued columns; the first part ends with "[continues in next column]". Read all parts.</t>
        </is>
      </c>
    </row>
    <row r="13" ht="30" customHeight="1">
      <c r="A13" s="7" t="inlineStr">
        <is>
          <t>Step 4</t>
        </is>
      </c>
      <c r="B13" s="7" t="inlineStr">
        <is>
          <t>your_decision: pick INCLUDE, EXCLUDE, or MAYBE from the dropdown. MAYBE means you cannot tell without the full text.</t>
        </is>
      </c>
    </row>
    <row r="14" ht="30" customHeight="1">
      <c r="A14" s="7" t="inlineStr">
        <is>
          <t>Step 5</t>
        </is>
      </c>
      <c r="B14" s="7" t="inlineStr">
        <is>
          <t>your_reason_code: pick one code, only when your decision is EXCLUDE.</t>
        </is>
      </c>
    </row>
    <row r="15" ht="30" customHeight="1">
      <c r="A15" s="7" t="inlineStr">
        <is>
          <t>Step 6</t>
        </is>
      </c>
      <c r="B15" s="7" t="inlineStr">
        <is>
          <t>your_notes: optional. A few words when a call is borderline.</t>
        </is>
      </c>
    </row>
    <row r="16" ht="30" customHeight="1">
      <c r="A16" s="7" t="inlineStr">
        <is>
          <t>Step 7</t>
        </is>
      </c>
      <c r="B16" s="7" t="inlineStr">
        <is>
          <t>Scope test: is the record about adoption or implementation of eHealth systems (EHR/EMR/HIE/health-IT infrastructure, including interoperability) at the organizational or national/system level? The level refers to the system being adopted, not to whether the respondents are individual clinicians or staff (README condition 6).</t>
        </is>
      </c>
    </row>
    <row r="17" ht="30" customHeight="1">
      <c r="A17" s="7" t="inlineStr">
        <is>
          <t>Step 8</t>
        </is>
      </c>
      <c r="B17" s="7" t="inlineStr">
        <is>
          <t>This workbook contains nothing that shows how the automated screen decided any record. Decide each record yourself, and please do not ask the author about a specific record until you have finished (README section 9).</t>
        </is>
      </c>
    </row>
    <row r="18" ht="30" customHeight="1">
      <c r="A18" s="7" t="inlineStr">
        <is>
          <t>Step 9</t>
        </is>
      </c>
      <c r="B18" s="7" t="inlineStr">
        <is>
          <t>To see what is left, filter your_decision for blanks. Do not delete rows or edit the other columns. Save often. When you have finished, save under the same name with your initials added, for example human_adjudication_blinded_JD.xlsx (README section 10).</t>
        </is>
      </c>
    </row>
    <row r="20">
      <c r="A20" s="6" t="inlineStr">
        <is>
          <t>Example of a filled-in row (made-up record, not in the sample)</t>
        </is>
      </c>
    </row>
    <row r="21">
      <c r="A21" s="7" t="inlineStr">
        <is>
          <t>title</t>
        </is>
      </c>
      <c r="C21" s="7" t="inlineStr">
        <is>
          <t>Patient satisfaction with a diabetes self-management smartphone app: a survey</t>
        </is>
      </c>
    </row>
    <row r="22">
      <c r="A22" s="7" t="inlineStr">
        <is>
          <t>your_decision</t>
        </is>
      </c>
      <c r="C22" s="7" t="inlineStr">
        <is>
          <t>EXCLUDE</t>
        </is>
      </c>
    </row>
    <row r="23">
      <c r="A23" s="7" t="inlineStr">
        <is>
          <t>your_reason_code</t>
        </is>
      </c>
      <c r="C23" s="7" t="inlineStr">
        <is>
          <t>X1</t>
        </is>
      </c>
    </row>
    <row r="24">
      <c r="A24" s="7" t="inlineStr">
        <is>
          <t>your_notes</t>
        </is>
      </c>
      <c r="C24" s="7" t="inlineStr">
        <is>
          <t>Individual app acceptance; no organizational adoption lens</t>
        </is>
      </c>
    </row>
    <row r="26">
      <c r="A26" s="6" t="inlineStr">
        <is>
          <t>Reason codes</t>
        </is>
      </c>
    </row>
    <row r="27">
      <c r="A27" s="6" t="inlineStr">
        <is>
          <t>Code</t>
        </is>
      </c>
      <c r="B27" s="6" t="inlineStr">
        <is>
          <t>Stage</t>
        </is>
      </c>
      <c r="C27" s="6" t="inlineStr">
        <is>
          <t>Meaning</t>
        </is>
      </c>
    </row>
    <row r="28">
      <c r="A28" s="7" t="inlineStr">
        <is>
          <t>E1</t>
        </is>
      </c>
      <c r="B28" s="7" t="inlineStr">
        <is>
          <t>Stage 1</t>
        </is>
      </c>
      <c r="C28" s="7" t="inlineStr">
        <is>
          <t>Wrong technology focus: not about eHealth/EHR/HIE/health-IT/interoperability adoption.</t>
        </is>
      </c>
    </row>
    <row r="29">
      <c r="A29" s="7" t="inlineStr">
        <is>
          <t>E2</t>
        </is>
      </c>
      <c r="B29" s="7" t="inlineStr">
        <is>
          <t>Stage 1</t>
        </is>
      </c>
      <c r="C29" s="7" t="inlineStr">
        <is>
          <t>About eHealth, but not about adoption or implementation determinants.</t>
        </is>
      </c>
    </row>
    <row r="30">
      <c r="A30" s="7" t="inlineStr">
        <is>
          <t>E3</t>
        </is>
      </c>
      <c r="B30" s="7" t="inlineStr">
        <is>
          <t>Stage 1</t>
        </is>
      </c>
      <c r="C30" s="7" t="inlineStr">
        <is>
          <t>Out-of-scope setting or population.</t>
        </is>
      </c>
    </row>
    <row r="31">
      <c r="A31" s="7" t="inlineStr">
        <is>
          <t>E4</t>
        </is>
      </c>
      <c r="B31" s="7" t="inlineStr">
        <is>
          <t>Stage 1</t>
        </is>
      </c>
      <c r="C31" s="7" t="inlineStr">
        <is>
          <t>Ineligible publication type: editorial, letter, commentary, abstract without methods, protocol, poster.</t>
        </is>
      </c>
    </row>
    <row r="32">
      <c r="A32" s="7" t="inlineStr">
        <is>
          <t>E6</t>
        </is>
      </c>
      <c r="B32" s="7" t="inlineStr">
        <is>
          <t>Stage 1</t>
        </is>
      </c>
      <c r="C32" s="7" t="inlineStr">
        <is>
          <t>Published before 2015.</t>
        </is>
      </c>
    </row>
    <row r="33">
      <c r="A33" s="7" t="inlineStr">
        <is>
          <t>X1</t>
        </is>
      </c>
      <c r="B33" s="7" t="inlineStr">
        <is>
          <t>Stage 2</t>
        </is>
      </c>
      <c r="C33" s="7" t="inlineStr">
        <is>
          <t>Patient- or consumer-facing acceptance only; no organizational or system-level adoption lens.</t>
        </is>
      </c>
    </row>
    <row r="34">
      <c r="A34" s="7" t="inlineStr">
        <is>
          <t>X2</t>
        </is>
      </c>
      <c r="B34" s="7" t="inlineStr">
        <is>
          <t>Stage 2</t>
        </is>
      </c>
      <c r="C34" s="7" t="inlineStr">
        <is>
          <t>Single-condition digital-health intervention, not adoption of an eHealth system.</t>
        </is>
      </c>
    </row>
    <row r="35">
      <c r="A35" s="7" t="inlineStr">
        <is>
          <t>X3</t>
        </is>
      </c>
      <c r="B35" s="7" t="inlineStr">
        <is>
          <t>Stage 2</t>
        </is>
      </c>
      <c r="C35" s="7" t="inlineStr">
        <is>
          <t>EHR used only as a data source or delivery channel for a clinical outcome.</t>
        </is>
      </c>
    </row>
    <row r="36">
      <c r="A36" s="7" t="inlineStr">
        <is>
          <t>X4</t>
        </is>
      </c>
      <c r="B36" s="7" t="inlineStr">
        <is>
          <t>Stage 2</t>
        </is>
      </c>
      <c r="C36" s="7" t="inlineStr">
        <is>
          <t>Out-of-scope technology or setting.</t>
        </is>
      </c>
    </row>
    <row r="37">
      <c r="A37" s="7" t="inlineStr">
        <is>
          <t>X5</t>
        </is>
      </c>
      <c r="B37" s="7" t="inlineStr">
        <is>
          <t>Stage 2</t>
        </is>
      </c>
      <c r="C37" s="7" t="inlineStr">
        <is>
          <t>Non-research publication type.</t>
        </is>
      </c>
    </row>
    <row r="39">
      <c r="A39" s="7" t="inlineStr">
        <is>
          <t>Source</t>
        </is>
      </c>
      <c r="C39" s="7" t="inlineStr">
        <is>
          <t>Definitions: screening_rubric.md (in this folder) and README section 7. E5 (duplicate / non-English) is left out because the screen never used it.</t>
        </is>
      </c>
    </row>
  </sheetData>
  <mergeCells count="9">
    <mergeCell ref="B13:C13"/>
    <mergeCell ref="B16:C16"/>
    <mergeCell ref="B15:C15"/>
    <mergeCell ref="B11:C11"/>
    <mergeCell ref="B10:C10"/>
    <mergeCell ref="B14:C14"/>
    <mergeCell ref="B17:C17"/>
    <mergeCell ref="B18:C18"/>
    <mergeCell ref="B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2026-10-04T11:20:45Z</dcterms:created>
  <dcterms:modified xmlns:dcterms="http://purl.org/dc/terms/" xmlns:xsi="http://www.w3.org/2001/XMLSchema-instance" xsi:type="dcterms:W3CDTF">2026-10-04T11:20:45Z</dcterms:modified>
</cp:coreProperties>
</file>